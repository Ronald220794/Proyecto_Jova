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filterPrivacy="1" codeName="ThisWorkbook" defaultThemeVersion="124226"/>
  <xr:revisionPtr revIDLastSave="0" documentId="13_ncr:1_{42123D2F-AC4B-4D45-A5B4-1D7A33BD59C7}" xr6:coauthVersionLast="45" xr6:coauthVersionMax="45" xr10:uidLastSave="{00000000-0000-0000-0000-000000000000}"/>
  <bookViews>
    <workbookView xWindow="-120" yWindow="-120" windowWidth="38640" windowHeight="15840" activeTab="4" xr2:uid="{00000000-000D-0000-FFFF-FFFF00000000}"/>
  </bookViews>
  <sheets>
    <sheet name="INVERSIONISTAS" sheetId="1" r:id="rId1"/>
    <sheet name="IMPORTACIONES" sheetId="2" r:id="rId2"/>
    <sheet name="REGISTRO_INVERSIONES" sheetId="5" r:id="rId3"/>
    <sheet name="MOVIMIENTO_INVERSION" sheetId="3" r:id="rId4"/>
    <sheet name="PRODUCTOS" sheetId="4" r:id="rId5"/>
    <sheet name="VENTA_PRODUCTOS" sheetId="7" r:id="rId6"/>
    <sheet name="GASTOS_ADMINISTRATIVOS" sheetId="8" r:id="rId7"/>
    <sheet name="CLIENTES" sheetId="9" r:id="rId8"/>
    <sheet name="REPORTES" sheetId="10" r:id="rId9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0" l="1"/>
  <c r="I12" i="3"/>
  <c r="H7" i="10" s="1"/>
  <c r="G9" i="10"/>
  <c r="J16" i="7"/>
  <c r="F7" i="10"/>
  <c r="F9" i="10"/>
  <c r="E8" i="10"/>
  <c r="E7" i="10"/>
  <c r="E9" i="10"/>
  <c r="I11" i="3"/>
  <c r="G7" i="10" s="1"/>
  <c r="I7" i="10" s="1"/>
  <c r="I10" i="3"/>
  <c r="I9" i="3"/>
  <c r="E14" i="2"/>
  <c r="C7" i="10" s="1"/>
  <c r="G13" i="4"/>
  <c r="H13" i="4" s="1"/>
  <c r="I13" i="4"/>
  <c r="I6" i="3"/>
  <c r="I7" i="3"/>
  <c r="F20" i="8"/>
  <c r="D7" i="10"/>
  <c r="D9" i="10"/>
  <c r="C9" i="10"/>
  <c r="E13" i="2"/>
  <c r="C8" i="10" s="1"/>
  <c r="E15" i="2"/>
  <c r="I9" i="10" l="1"/>
  <c r="J7" i="10"/>
  <c r="K7" i="10" s="1"/>
  <c r="J9" i="10"/>
  <c r="K9" i="10" s="1"/>
  <c r="G12" i="4"/>
  <c r="G14" i="4"/>
  <c r="J13" i="7" l="1"/>
  <c r="H12" i="4"/>
  <c r="H14" i="4"/>
  <c r="J14" i="7"/>
  <c r="J15" i="7"/>
  <c r="I12" i="4"/>
  <c r="D8" i="10" s="1"/>
  <c r="I14" i="4"/>
  <c r="I5" i="3"/>
  <c r="H8" i="10" s="1"/>
  <c r="I8" i="3"/>
  <c r="I13" i="3"/>
  <c r="G8" i="10" l="1"/>
  <c r="I8" i="10" s="1"/>
  <c r="F8" i="10"/>
  <c r="K15" i="5"/>
  <c r="E21" i="5"/>
  <c r="E18" i="5"/>
  <c r="E15" i="5"/>
  <c r="J8" i="10" l="1"/>
  <c r="K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G11" authorId="0" shapeId="0" xr:uid="{565C5C26-AD83-4AFE-90E9-48A72A3EE26E}">
      <text>
        <r>
          <rPr>
            <b/>
            <sz val="9"/>
            <color indexed="81"/>
            <rFont val="Tahoma"/>
            <family val="2"/>
          </rPr>
          <t>FÓRMULA:</t>
        </r>
        <r>
          <rPr>
            <sz val="9"/>
            <color indexed="81"/>
            <rFont val="Tahoma"/>
            <family val="2"/>
          </rPr>
          <t xml:space="preserve">
SUMAR.SI(venta_productos[CODIGO];[@CODIGO];venta_productos[CANTIDAD])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6" authorId="0" shapeId="0" xr:uid="{F28DFA62-3EB6-4FAA-87FF-FB4D8A8FB486}">
      <text>
        <r>
          <rPr>
            <b/>
            <sz val="9"/>
            <color indexed="81"/>
            <rFont val="Tahoma"/>
            <charset val="1"/>
          </rPr>
          <t>FORMULA:</t>
        </r>
        <r>
          <rPr>
            <sz val="9"/>
            <color indexed="81"/>
            <rFont val="Tahoma"/>
            <charset val="1"/>
          </rPr>
          <t xml:space="preserve">
=SUMAR.SI.CONJUNTO(movimiento_inversion[MONTO_TOTAL]; movimiento_inversion[CODIGO];[@CODIGO];movimiento_inversion[DESCRIPCIÓN];[@DESCRIPCIÓN])
</t>
        </r>
      </text>
    </comment>
  </commentList>
</comments>
</file>

<file path=xl/sharedStrings.xml><?xml version="1.0" encoding="utf-8"?>
<sst xmlns="http://schemas.openxmlformats.org/spreadsheetml/2006/main" count="162" uniqueCount="94">
  <si>
    <t>CODIGO</t>
  </si>
  <si>
    <t>NOMBRE</t>
  </si>
  <si>
    <t>TELEFONO</t>
  </si>
  <si>
    <t>DESCRIPCIÓN</t>
  </si>
  <si>
    <t>APELLIDO PATERNO</t>
  </si>
  <si>
    <t>MONTO INVERTIDO</t>
  </si>
  <si>
    <t>GANANCIA</t>
  </si>
  <si>
    <t>MONTO_TOTAL</t>
  </si>
  <si>
    <t>ESTADO</t>
  </si>
  <si>
    <t>FECHA DE REGISTRO</t>
  </si>
  <si>
    <t>CORREO</t>
  </si>
  <si>
    <t>NOMBRES</t>
  </si>
  <si>
    <t>APELLIDO MATERNO</t>
  </si>
  <si>
    <t>MONTO TOTAL</t>
  </si>
  <si>
    <t>FECHA DE PAGO</t>
  </si>
  <si>
    <t>OBSERVACION</t>
  </si>
  <si>
    <t>PRECIO COMPRA</t>
  </si>
  <si>
    <t>STOCK ACTUAL</t>
  </si>
  <si>
    <t>ENTRADAS</t>
  </si>
  <si>
    <t>SALIDAS</t>
  </si>
  <si>
    <t>EXPORTACIÓN</t>
  </si>
  <si>
    <t>GANANCIA DEL INVERSIONISTA</t>
  </si>
  <si>
    <t>OBSERVACIÓN</t>
  </si>
  <si>
    <t>FECHA_REGISTRO</t>
  </si>
  <si>
    <t>FECHA_PAGO</t>
  </si>
  <si>
    <t>CHRISTIAN</t>
  </si>
  <si>
    <t>PIZARRO</t>
  </si>
  <si>
    <t>BARBARAN</t>
  </si>
  <si>
    <t>DIRECCIÓN</t>
  </si>
  <si>
    <t>Ronald William</t>
  </si>
  <si>
    <t>Acosta</t>
  </si>
  <si>
    <t>Alva</t>
  </si>
  <si>
    <t>Jr. las rimarimas 919. Coop las flores</t>
  </si>
  <si>
    <t>ronald.acostaalva@gmail.com</t>
  </si>
  <si>
    <t>FECHA RECEPCIÓN</t>
  </si>
  <si>
    <t>FECHA EMISIÓN</t>
  </si>
  <si>
    <t>txtfech_rec.Value=</t>
  </si>
  <si>
    <t xml:space="preserve">IF txtfech_emi.Value = Empty </t>
  </si>
  <si>
    <t>15/10/2020</t>
  </si>
  <si>
    <t>RONALD</t>
  </si>
  <si>
    <t>ACOSTA</t>
  </si>
  <si>
    <t>ALVA</t>
  </si>
  <si>
    <t xml:space="preserve">MONTO_INVERTIDO </t>
  </si>
  <si>
    <t>CAPITAL</t>
  </si>
  <si>
    <t>NEVERA</t>
  </si>
  <si>
    <t>PRECIO VENTA_INICIAL</t>
  </si>
  <si>
    <t>NOMBRE_PRODUCTO</t>
  </si>
  <si>
    <t>PRODUCTO</t>
  </si>
  <si>
    <t>PRECIO_VENTA</t>
  </si>
  <si>
    <t>DESCUENTO</t>
  </si>
  <si>
    <t>CANTIDAD</t>
  </si>
  <si>
    <t>TOTAL_VENTA</t>
  </si>
  <si>
    <t>OBSERVACIONES</t>
  </si>
  <si>
    <t>COD_CLIENTE</t>
  </si>
  <si>
    <t>VENTA FINAL</t>
  </si>
  <si>
    <t>SUMAR.SI(venta_productos[CODIGO];[@CODIGO];venta_productos[CANTIDAD])</t>
  </si>
  <si>
    <t>JUAN</t>
  </si>
  <si>
    <t>PEREA</t>
  </si>
  <si>
    <t>GUTIERREZ</t>
  </si>
  <si>
    <t>DESCRIPCION_GASTO</t>
  </si>
  <si>
    <t>DESTINATARIO</t>
  </si>
  <si>
    <t>FACTURA</t>
  </si>
  <si>
    <t>001-ASDSA</t>
  </si>
  <si>
    <t>001-12313</t>
  </si>
  <si>
    <t>FECHA_GASTO</t>
  </si>
  <si>
    <t>TRANSPORTE</t>
  </si>
  <si>
    <t>ROBLES ROSAS ISAIAS ELIAS</t>
  </si>
  <si>
    <t>IMPUESTO</t>
  </si>
  <si>
    <t>WCT Y LOGISTIC SAC</t>
  </si>
  <si>
    <t>SEGUNDA IMPORTACION</t>
  </si>
  <si>
    <t>GASTOS ADMINISTRATIVOS</t>
  </si>
  <si>
    <t>COMPRA PRODUCTOS</t>
  </si>
  <si>
    <t>VENTA PRODUCTOS</t>
  </si>
  <si>
    <t>PAGO INVERSIONISTAS</t>
  </si>
  <si>
    <t>TERCERA IMPORTACION</t>
  </si>
  <si>
    <t>PRIMERA IMPORTACION</t>
  </si>
  <si>
    <t>MONTO_GASTADO</t>
  </si>
  <si>
    <t>001-ASDSADASD</t>
  </si>
  <si>
    <t>LUIS</t>
  </si>
  <si>
    <t>BENAVENTE</t>
  </si>
  <si>
    <t>PAOLA</t>
  </si>
  <si>
    <t>SALCEDO</t>
  </si>
  <si>
    <t>NEVERA AZUL</t>
  </si>
  <si>
    <t>TRANSPORTES</t>
  </si>
  <si>
    <t>DSADDASSD</t>
  </si>
  <si>
    <t>JEHU</t>
  </si>
  <si>
    <t>CAHUANA</t>
  </si>
  <si>
    <t>ISRAEL</t>
  </si>
  <si>
    <t>001-ADASDSADSADASD</t>
  </si>
  <si>
    <t>TOTAL PAGO INVERSIONISTAS</t>
  </si>
  <si>
    <t>CAPITAL INVERSIONISTAS</t>
  </si>
  <si>
    <t>JOVA_INVERSION</t>
  </si>
  <si>
    <t>TOTAL</t>
  </si>
  <si>
    <t>GANANCIA_JOVA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</si>
</sst>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7" xfId="0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5" xfId="0" applyFill="1" applyBorder="1"/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left" vertical="center"/>
    </xf>
    <xf numFmtId="0" fontId="0" fillId="0" borderId="12" xfId="0" applyFill="1" applyBorder="1"/>
    <xf numFmtId="0" fontId="0" fillId="0" borderId="0" xfId="0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4" borderId="0" xfId="0" applyFill="1" applyAlignment="1">
      <alignment horizontal="center"/>
    </xf>
    <xf numFmtId="0" fontId="3" fillId="0" borderId="13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14" xfId="0" applyFont="1" applyFill="1" applyBorder="1" applyAlignment="1">
      <alignment horizontal="left" vertical="center"/>
    </xf>
    <xf numFmtId="0" fontId="0" fillId="0" borderId="14" xfId="0" applyFont="1" applyBorder="1" applyAlignment="1">
      <alignment horizontal="left" vertic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9" fontId="0" fillId="0" borderId="2" xfId="1" applyFont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4" borderId="0" xfId="0" applyFill="1"/>
    <xf numFmtId="0" fontId="0" fillId="5" borderId="14" xfId="0" applyFont="1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 vertical="center"/>
    </xf>
  </cellXfs>
  <cellStyles count="2">
    <cellStyle name="Normal" xfId="0" builtinId="0"/>
    <cellStyle name="Porcentaje" xfId="1" builtinId="5"/>
  </cellStyles>
  <dxfs count="40"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58393</xdr:colOff>
      <xdr:row>7</xdr:row>
      <xdr:rowOff>16564</xdr:rowOff>
    </xdr:from>
    <xdr:to>
      <xdr:col>2</xdr:col>
      <xdr:colOff>150330</xdr:colOff>
      <xdr:row>9</xdr:row>
      <xdr:rowOff>41413</xdr:rowOff>
    </xdr:to>
    <xdr:sp macro="[0]!INGRESAR_INVERSIONISTAS" textlink="">
      <xdr:nvSpPr>
        <xdr:cNvPr id="3" name="Rectángulo redondead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393" y="1350064"/>
          <a:ext cx="1972089" cy="405849"/>
        </a:xfrm>
        <a:prstGeom prst="roundRect">
          <a:avLst/>
        </a:prstGeom>
        <a:solidFill>
          <a:schemeClr val="bg1">
            <a:lumMod val="75000"/>
          </a:schemeClr>
        </a:solidFill>
        <a:ln w="3175"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200" b="1">
              <a:solidFill>
                <a:sysClr val="windowText" lastClr="000000"/>
              </a:solidFill>
            </a:rPr>
            <a:t>INGRESAR</a:t>
          </a:r>
          <a:r>
            <a:rPr lang="es-US" sz="1200" b="1" baseline="0">
              <a:solidFill>
                <a:sysClr val="windowText" lastClr="000000"/>
              </a:solidFill>
            </a:rPr>
            <a:t> INVERSIONISTAS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8283</xdr:rowOff>
    </xdr:from>
    <xdr:to>
      <xdr:col>6</xdr:col>
      <xdr:colOff>2066925</xdr:colOff>
      <xdr:row>5</xdr:row>
      <xdr:rowOff>170208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8283"/>
          <a:ext cx="10191750" cy="11144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LOS INVERSIONISTAS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9</xdr:col>
      <xdr:colOff>0</xdr:colOff>
      <xdr:row>5</xdr:row>
      <xdr:rowOff>180975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525" y="19050"/>
          <a:ext cx="11191875" cy="11144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LAS IMPORTACIONES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7</xdr:row>
      <xdr:rowOff>76200</xdr:rowOff>
    </xdr:from>
    <xdr:to>
      <xdr:col>2</xdr:col>
      <xdr:colOff>276225</xdr:colOff>
      <xdr:row>9</xdr:row>
      <xdr:rowOff>171450</xdr:rowOff>
    </xdr:to>
    <xdr:sp macro="[0]!INGRESAR_IMPORTACIONE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8600" y="1409700"/>
          <a:ext cx="2133600" cy="47625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200" b="1">
              <a:solidFill>
                <a:sysClr val="windowText" lastClr="000000"/>
              </a:solidFill>
            </a:rPr>
            <a:t>INGRESAR IMPORTACIONES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1</xdr:colOff>
      <xdr:row>5</xdr:row>
      <xdr:rowOff>180975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525" y="19050"/>
          <a:ext cx="11420476" cy="1114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MOVIMIENTO DE INVERSIONES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733425</xdr:colOff>
      <xdr:row>26</xdr:row>
      <xdr:rowOff>95250</xdr:rowOff>
    </xdr:from>
    <xdr:to>
      <xdr:col>6</xdr:col>
      <xdr:colOff>342900</xdr:colOff>
      <xdr:row>29</xdr:row>
      <xdr:rowOff>38100</xdr:rowOff>
    </xdr:to>
    <xdr:sp macro="[0]!GRABAR_MOV_INVERSIONE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19425" y="5162550"/>
          <a:ext cx="189547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GRABAR</a:t>
          </a:r>
        </a:p>
      </xdr:txBody>
    </xdr:sp>
    <xdr:clientData/>
  </xdr:twoCellAnchor>
  <xdr:twoCellAnchor>
    <xdr:from>
      <xdr:col>7</xdr:col>
      <xdr:colOff>420220</xdr:colOff>
      <xdr:row>26</xdr:row>
      <xdr:rowOff>93569</xdr:rowOff>
    </xdr:from>
    <xdr:to>
      <xdr:col>10</xdr:col>
      <xdr:colOff>29695</xdr:colOff>
      <xdr:row>29</xdr:row>
      <xdr:rowOff>36419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754220" y="5181040"/>
          <a:ext cx="189547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161925</xdr:colOff>
      <xdr:row>5</xdr:row>
      <xdr:rowOff>180975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FAA941B2-1C17-4F21-B5E5-DFD74AC0EEAF}"/>
            </a:ext>
          </a:extLst>
        </xdr:cNvPr>
        <xdr:cNvSpPr/>
      </xdr:nvSpPr>
      <xdr:spPr>
        <a:xfrm>
          <a:off x="0" y="0"/>
          <a:ext cx="11277600" cy="1133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PRODUCTOS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13</xdr:col>
      <xdr:colOff>1647825</xdr:colOff>
      <xdr:row>6</xdr:row>
      <xdr:rowOff>9525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6F90D3-7E92-41CC-8C90-742BE634F433}"/>
            </a:ext>
          </a:extLst>
        </xdr:cNvPr>
        <xdr:cNvSpPr/>
      </xdr:nvSpPr>
      <xdr:spPr>
        <a:xfrm>
          <a:off x="0" y="19050"/>
          <a:ext cx="18992850" cy="1133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VENTA DE PRODUCTOS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9525</xdr:colOff>
      <xdr:row>5</xdr:row>
      <xdr:rowOff>161925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ABD7756-65D8-4B8A-89F0-B4FCD8216EA9}"/>
            </a:ext>
          </a:extLst>
        </xdr:cNvPr>
        <xdr:cNvSpPr/>
      </xdr:nvSpPr>
      <xdr:spPr>
        <a:xfrm>
          <a:off x="0" y="0"/>
          <a:ext cx="10191750" cy="11144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LOS CLIENTES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12:G15" totalsRowShown="0" headerRowDxfId="39" dataDxfId="37" headerRowBorderDxfId="38" tableBorderDxfId="36" totalsRowBorderDxfId="35">
  <autoFilter ref="A12:G15" xr:uid="{00000000-0009-0000-0100-000003000000}"/>
  <tableColumns count="7">
    <tableColumn id="1" xr3:uid="{00000000-0010-0000-0000-000001000000}" name="CODIGO" dataDxfId="34"/>
    <tableColumn id="2" xr3:uid="{00000000-0010-0000-0000-000002000000}" name="NOMBRES" dataDxfId="33"/>
    <tableColumn id="3" xr3:uid="{00000000-0010-0000-0000-000003000000}" name="APELLIDO PATERNO" dataDxfId="32"/>
    <tableColumn id="4" xr3:uid="{00000000-0010-0000-0000-000004000000}" name="APELLIDO MATERNO" dataDxfId="31"/>
    <tableColumn id="7" xr3:uid="{00000000-0010-0000-0000-000007000000}" name="DIRECCIÓN" dataDxfId="30"/>
    <tableColumn id="5" xr3:uid="{00000000-0010-0000-0000-000005000000}" name="TELEFONO" dataDxfId="29"/>
    <tableColumn id="6" xr3:uid="{00000000-0010-0000-0000-000006000000}" name="CORREO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importaciones" displayName="tabla_importaciones" ref="B12:F15" totalsRowShown="0" headerRowDxfId="27" dataDxfId="26">
  <autoFilter ref="B12:F15" xr:uid="{00000000-0009-0000-0100-000002000000}"/>
  <tableColumns count="5">
    <tableColumn id="2" xr3:uid="{00000000-0010-0000-0100-000002000000}" name="DESCRIPCIÓN" dataDxfId="25"/>
    <tableColumn id="3" xr3:uid="{00000000-0010-0000-0100-000003000000}" name="FECHA EMISIÓN"/>
    <tableColumn id="4" xr3:uid="{00000000-0010-0000-0100-000004000000}" name="FECHA RECEPCIÓN"/>
    <tableColumn id="5" xr3:uid="{00000000-0010-0000-0100-000005000000}" name="CAPITAL" dataDxfId="10">
      <calculatedColumnFormula>SUMIF(movimiento_inversion[DESCRIPCIÓN], tabla_importaciones[[#This Row],[DESCRIPCIÓN]], movimiento_inversion[MONTO_INVERTIDO ])</calculatedColumnFormula>
    </tableColumn>
    <tableColumn id="6" xr3:uid="{00000000-0010-0000-0100-000006000000}" name="ESTADO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movimiento_inversion" displayName="movimiento_inversion" ref="A4:L13" totalsRowShown="0" headerRowDxfId="23">
  <autoFilter ref="A4:L13" xr:uid="{00000000-0009-0000-0100-000001000000}"/>
  <tableColumns count="12">
    <tableColumn id="1" xr3:uid="{00000000-0010-0000-0200-000001000000}" name="FECHA_REGISTRO"/>
    <tableColumn id="2" xr3:uid="{00000000-0010-0000-0200-000002000000}" name="CODIGO" dataDxfId="4"/>
    <tableColumn id="13" xr3:uid="{64EF7BC2-DA5D-44EC-850C-D7A40B021E53}" name="DESCRIPCIÓN"/>
    <tableColumn id="3" xr3:uid="{00000000-0010-0000-0200-000003000000}" name="NOMBRE" dataDxfId="22"/>
    <tableColumn id="4" xr3:uid="{00000000-0010-0000-0200-000004000000}" name="APELLIDO PATERNO" dataDxfId="21"/>
    <tableColumn id="5" xr3:uid="{00000000-0010-0000-0200-000005000000}" name="APELLIDO MATERNO" dataDxfId="20"/>
    <tableColumn id="7" xr3:uid="{00000000-0010-0000-0200-000007000000}" name="MONTO_INVERTIDO "/>
    <tableColumn id="8" xr3:uid="{00000000-0010-0000-0200-000008000000}" name="GANANCIA"/>
    <tableColumn id="9" xr3:uid="{00000000-0010-0000-0200-000009000000}" name="MONTO_TOTAL" dataDxfId="19">
      <calculatedColumnFormula>movimiento_inversion[[#This Row],[MONTO_INVERTIDO ]]+movimiento_inversion[[#This Row],[MONTO_INVERTIDO ]]*(movimiento_inversion[[#This Row],[GANANCIA]]/100)</calculatedColumnFormula>
    </tableColumn>
    <tableColumn id="10" xr3:uid="{00000000-0010-0000-0200-00000A000000}" name="OBSERVACIÓN"/>
    <tableColumn id="11" xr3:uid="{00000000-0010-0000-0200-00000B000000}" name="FECHA_PAGO"/>
    <tableColumn id="12" xr3:uid="{00000000-0010-0000-0200-00000C000000}" name="ESTAD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7A859D-38B9-459F-8248-C45CDA4A66F8}" name="tabla_productos" displayName="tabla_productos" ref="A11:I14" totalsRowShown="0" headerRowDxfId="18">
  <autoFilter ref="A11:I14" xr:uid="{ECE5C1A3-0EB4-44DA-A5D6-8E09A5AD3C12}"/>
  <tableColumns count="9">
    <tableColumn id="1" xr3:uid="{E28E52D0-EE9F-4BFA-80F9-2CE97DCBE082}" name="DESCRIPCIÓN"/>
    <tableColumn id="11" xr3:uid="{86B00957-1AF8-43AC-8F32-C835783692D9}" name="CODIGO"/>
    <tableColumn id="2" xr3:uid="{4036FBE1-3C05-4141-91F4-5B48953CDF86}" name="NOMBRE_PRODUCTO"/>
    <tableColumn id="3" xr3:uid="{4C3A7930-BA4A-40AF-A9E6-D9C140FA868C}" name="PRECIO COMPRA"/>
    <tableColumn id="4" xr3:uid="{17AABFD3-468F-44A1-8CD5-7054B137436E}" name="PRECIO VENTA_INICIAL"/>
    <tableColumn id="5" xr3:uid="{2DF20EC3-5C68-477A-9EA2-DA821097369A}" name="ENTRADAS"/>
    <tableColumn id="6" xr3:uid="{1972F258-8CDE-42AE-889D-BCE0194D42A0}" name="SALIDAS" dataDxfId="17">
      <calculatedColumnFormula>SUMIF(venta_productos[CODIGO],tabla_productos[[#This Row],[CODIGO]],venta_productos[CANTIDAD])</calculatedColumnFormula>
    </tableColumn>
    <tableColumn id="7" xr3:uid="{BCD2BA7B-7057-408B-9A9A-E9754CD467BB}" name="STOCK ACTUAL" dataDxfId="16">
      <calculatedColumnFormula>tabla_productos[[#This Row],[ENTRADAS]]-tabla_productos[[#This Row],[SALIDAS]]</calculatedColumnFormula>
    </tableColumn>
    <tableColumn id="10" xr3:uid="{48ADF663-0DA8-444B-B469-F9089C2B2F66}" name="MONTO_GASTADO" dataDxfId="15">
      <calculatedColumnFormula>tabla_productos[[#This Row],[PRECIO COMPRA]]*tabla_productos[[#This Row],[ENTRADAS]]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F154EB-E5D3-4FD2-9D2C-ED08266F961A}" name="venta_productos" displayName="venta_productos" ref="A12:O16" totalsRowShown="0" headerRowDxfId="14">
  <autoFilter ref="A12:O16" xr:uid="{877C24E3-DCA6-4916-9915-C6C7A417CF6C}"/>
  <tableColumns count="15">
    <tableColumn id="16" xr3:uid="{EB850745-EA89-4797-89BB-EA5597717293}" name="DESCRIPCIÓN"/>
    <tableColumn id="1" xr3:uid="{107A105B-D195-47B0-86D4-A2AE58BFFE65}" name="FECHA_REGISTRO"/>
    <tableColumn id="15" xr3:uid="{53D463E6-9A00-40BA-93D0-709DEFB537B4}" name="FACTURA"/>
    <tableColumn id="3" xr3:uid="{AFE6C202-9EDC-4688-99AA-EFC51E8838D7}" name="CODIGO"/>
    <tableColumn id="4" xr3:uid="{F34AE236-583C-4B0E-8AAC-6EDC4445C815}" name="PRODUCTO"/>
    <tableColumn id="5" xr3:uid="{6F928B6B-FCA2-4942-AF05-3B902CA224D7}" name="CANTIDAD"/>
    <tableColumn id="6" xr3:uid="{E5C5D9AA-8B52-496B-8F03-1440F5E58481}" name="PRECIO_VENTA"/>
    <tableColumn id="7" xr3:uid="{C4D98CA2-8038-4B6F-808C-7C1D49DF2E9B}" name="DESCUENTO"/>
    <tableColumn id="8" xr3:uid="{DDF39D12-6392-45A8-A431-CF14A710C774}" name="VENTA FINAL"/>
    <tableColumn id="9" xr3:uid="{278FDBF1-D486-450C-AE5C-F03567F72492}" name="TOTAL_VENTA" dataDxfId="13">
      <calculatedColumnFormula>venta_productos[[#This Row],[VENTA FINAL]]*venta_productos[[#This Row],[CANTIDAD]]</calculatedColumnFormula>
    </tableColumn>
    <tableColumn id="10" xr3:uid="{F0B03849-3C02-4DD2-8506-E54DF11C69E5}" name="COD_CLIENTE"/>
    <tableColumn id="11" xr3:uid="{7BC13341-2A0A-4258-9460-76010E34B6A4}" name="NOMBRE"/>
    <tableColumn id="12" xr3:uid="{6D6A3DE9-989B-4F4E-B0C4-DF95C22DB918}" name="APELLIDO PATERNO"/>
    <tableColumn id="13" xr3:uid="{5498EFB4-CF4E-45C6-9529-115D2338EA22}" name="APELLIDO MATERNO"/>
    <tableColumn id="14" xr3:uid="{AA146C00-25FF-445E-9476-9493515D55DA}" name="OBSERVACIONE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B8AB9BE-EE20-4C0E-AE43-D2870FBFAC0B}" name="gastos_administrativos" displayName="gastos_administrativos" ref="A11:H14" totalsRowShown="0" headerRowDxfId="12">
  <autoFilter ref="A11:H14" xr:uid="{A4B6CB3C-A5D0-47CE-86D0-BBDCA4190FC9}"/>
  <tableColumns count="8">
    <tableColumn id="1" xr3:uid="{29B83649-697A-46F2-9C75-0F9AFF74E1C4}" name="CODIGO" dataDxfId="11"/>
    <tableColumn id="2" xr3:uid="{FBB6C76C-6D7E-4C76-83A0-21D2C9392869}" name="DESCRIPCIÓN"/>
    <tableColumn id="3" xr3:uid="{A7C7DBBA-B8D1-4234-BB2D-2B12FFE88C56}" name="FECHA_GASTO"/>
    <tableColumn id="4" xr3:uid="{050F81B7-4B3F-4AE8-A891-B243F8047C82}" name="FACTURA"/>
    <tableColumn id="5" xr3:uid="{FBF28A3F-8700-4357-804C-598700B9AF16}" name="DESCRIPCION_GASTO"/>
    <tableColumn id="6" xr3:uid="{F57317DA-BC23-41D7-9159-D76C4A7FECB4}" name="MONTO_GASTADO"/>
    <tableColumn id="7" xr3:uid="{A3162102-5D9A-4491-99F2-207FD4656D82}" name="DESTINATARIO"/>
    <tableColumn id="9" xr3:uid="{8C7ECBC3-3C90-4657-B09D-FBC230F1228A}" name="OBSERVAC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D6F3546-7800-4A1E-8E7D-3701FC1950AD}" name="tabla_clientes" displayName="tabla_clientes" ref="A10:G12" totalsRowShown="0">
  <autoFilter ref="A10:G12" xr:uid="{6C34AAD9-591E-4684-9CC5-85E68C97D932}"/>
  <tableColumns count="7">
    <tableColumn id="1" xr3:uid="{58E67145-5838-458C-802E-07B90D58982D}" name="COD_CLIENTE"/>
    <tableColumn id="2" xr3:uid="{B57DEB26-31CA-4086-834E-82A146E35025}" name="NOMBRE"/>
    <tableColumn id="3" xr3:uid="{85BB5526-EDFE-4BCE-B532-53D0BE56B391}" name="APELLIDO PATERNO"/>
    <tableColumn id="4" xr3:uid="{2605D093-5A10-49CD-8443-0D6FDA41A777}" name="APELLIDO MATERNO"/>
    <tableColumn id="5" xr3:uid="{C6D1D24B-C813-4B31-9C7C-B05F2ED5FB31}" name="TELEFONO"/>
    <tableColumn id="6" xr3:uid="{58117E3B-202D-4EF8-AB76-551C2F14E1F6}" name="DIRECCIÓN"/>
    <tableColumn id="7" xr3:uid="{AAB9BB4E-72F5-4F43-AABD-B3E15687842C}" name="CORREO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7E4A1A-653F-4B52-85DB-AE888D9218FC}" name="reportes" displayName="reportes" ref="B6:K9" totalsRowShown="0">
  <autoFilter ref="B6:K9" xr:uid="{141FD751-BBAA-469E-B8E7-91962E338F09}"/>
  <tableColumns count="10">
    <tableColumn id="1" xr3:uid="{459F58A5-7066-49DA-B9C0-632D4A10D3E5}" name="DESCRIPCIÓN"/>
    <tableColumn id="2" xr3:uid="{7CCC04B9-FC0A-427D-8AFC-BDAEC6018825}" name="CAPITAL INVERSIONISTAS" dataDxfId="9">
      <calculatedColumnFormula>IFERROR(VLOOKUP(reportes[[#This Row],[DESCRIPCIÓN]],tabla_importaciones[],MATCH("CAPITAL",tabla_importaciones[#Headers],0),FALSE), " - ")</calculatedColumnFormula>
    </tableColumn>
    <tableColumn id="3" xr3:uid="{DBFF63B2-0875-4CF0-A438-56D4B9A68B70}" name="COMPRA PRODUCTOS" dataDxfId="8">
      <calculatedColumnFormula>IFERROR(VLOOKUP(reportes[[#This Row],[DESCRIPCIÓN]],tabla_productos[],MATCH("MONTO_GASTADO",tabla_productos[#Headers],0),FALSE), " - ")</calculatedColumnFormula>
    </tableColumn>
    <tableColumn id="4" xr3:uid="{B8AF9C7F-ACC2-4F39-9A2A-B6457EC9A1D9}" name="GASTOS ADMINISTRATIVOS" dataDxfId="7">
      <calculatedColumnFormula>SUMIF(gastos_administrativos[DESCRIPCIÓN], reportes[[#This Row],[DESCRIPCIÓN]], gastos_administrativos[MONTO_GASTADO])</calculatedColumnFormula>
    </tableColumn>
    <tableColumn id="5" xr3:uid="{0F18F207-FFF6-4A18-88EE-F3478449ACA1}" name="VENTA PRODUCTOS" dataDxfId="6">
      <calculatedColumnFormula>SUMIF(venta_productos[DESCRIPCIÓN], reportes[[#This Row],[DESCRIPCIÓN]], venta_productos[TOTAL_VENTA])</calculatedColumnFormula>
    </tableColumn>
    <tableColumn id="6" xr3:uid="{E18F39F6-6BB1-4D1C-8A53-BAA581DCCCE9}" name="PAGO INVERSIONISTAS" dataDxfId="5">
      <calculatedColumnFormula>SUMIF(movimiento_inversion[DESCRIPCIÓN], reportes[[#This Row],[DESCRIPCIÓN]], movimiento_inversion[MONTO_TOTAL])</calculatedColumnFormula>
    </tableColumn>
    <tableColumn id="9" xr3:uid="{F7FD74F0-11C0-4747-90B9-D95D17034349}" name="JOVA_INVERSION" dataDxfId="3">
      <calculatedColumnFormula>SUMIFS(movimiento_inversion[MONTO_TOTAL], movimiento_inversion[CODIGO],1,movimiento_inversion[DESCRIPCIÓN],reportes[[#This Row],[DESCRIPCIÓN]])</calculatedColumnFormula>
    </tableColumn>
    <tableColumn id="12" xr3:uid="{5BD57E7B-4780-494A-BCC9-78D2553D3412}" name="TOTAL PAGO INVERSIONISTAS" dataDxfId="2">
      <calculatedColumnFormula>reportes[[#This Row],[PAGO INVERSIONISTAS]]-reportes[[#This Row],[JOVA_INVERSION]]</calculatedColumnFormula>
    </tableColumn>
    <tableColumn id="7" xr3:uid="{7A7FA87E-432E-4150-8499-EB0EB5D6120E}" name="TOTAL" dataDxfId="1">
      <calculatedColumnFormula>IFERROR(reportes[[#This Row],[CAPITAL INVERSIONISTAS]]-reportes[[#This Row],[COMPRA PRODUCTOS]]-reportes[[#This Row],[GASTOS ADMINISTRATIVOS]]+reportes[[#This Row],[VENTA PRODUCTOS]]-reportes[[#This Row],[PAGO INVERSIONISTAS]]+reportes[[#This Row],[JOVA_INVERSION]],0)</calculatedColumnFormula>
    </tableColumn>
    <tableColumn id="13" xr3:uid="{BA7B2B56-0ABE-4840-8412-19402EBAD58D}" name="GANANCIA_JOVA" dataDxfId="0">
      <calculatedColumnFormula>IFERROR(reportes[[#This Row],[TOTAL]]-reportes[[#This Row],[JOVA_INVERSION]],0)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2:G15"/>
  <sheetViews>
    <sheetView showGridLines="0" zoomScaleNormal="100" workbookViewId="0">
      <selection activeCell="C22" sqref="C22"/>
    </sheetView>
  </sheetViews>
  <sheetFormatPr baseColWidth="10" defaultColWidth="9.140625" defaultRowHeight="15" x14ac:dyDescent="0.25"/>
  <cols>
    <col min="1" max="1" width="10.140625" customWidth="1"/>
    <col min="2" max="2" width="18" customWidth="1"/>
    <col min="3" max="3" width="23" customWidth="1"/>
    <col min="4" max="4" width="21.5703125" customWidth="1"/>
    <col min="5" max="5" width="35.5703125" customWidth="1"/>
    <col min="6" max="6" width="13.5703125" customWidth="1"/>
    <col min="7" max="7" width="31.140625" customWidth="1"/>
  </cols>
  <sheetData>
    <row r="12" spans="1:7" x14ac:dyDescent="0.25">
      <c r="A12" s="7" t="s">
        <v>0</v>
      </c>
      <c r="B12" s="8" t="s">
        <v>11</v>
      </c>
      <c r="C12" s="8" t="s">
        <v>4</v>
      </c>
      <c r="D12" s="8" t="s">
        <v>12</v>
      </c>
      <c r="E12" s="8" t="s">
        <v>28</v>
      </c>
      <c r="F12" s="8" t="s">
        <v>2</v>
      </c>
      <c r="G12" s="9" t="s">
        <v>10</v>
      </c>
    </row>
    <row r="13" spans="1:7" x14ac:dyDescent="0.25">
      <c r="A13" s="10">
        <v>2</v>
      </c>
      <c r="B13" s="11" t="s">
        <v>29</v>
      </c>
      <c r="C13" s="11" t="s">
        <v>30</v>
      </c>
      <c r="D13" s="11" t="s">
        <v>31</v>
      </c>
      <c r="E13" s="11" t="s">
        <v>32</v>
      </c>
      <c r="F13" s="11">
        <v>997764286</v>
      </c>
      <c r="G13" s="17" t="s">
        <v>33</v>
      </c>
    </row>
    <row r="14" spans="1:7" x14ac:dyDescent="0.25">
      <c r="A14" s="10">
        <v>1</v>
      </c>
      <c r="B14" s="11" t="s">
        <v>25</v>
      </c>
      <c r="C14" s="11" t="s">
        <v>26</v>
      </c>
      <c r="D14" s="11" t="s">
        <v>27</v>
      </c>
      <c r="E14" s="11"/>
      <c r="F14" s="11"/>
      <c r="G14" s="12"/>
    </row>
    <row r="15" spans="1:7" x14ac:dyDescent="0.25">
      <c r="A15" s="13"/>
      <c r="B15" s="14"/>
      <c r="C15" s="14"/>
      <c r="D15" s="14"/>
      <c r="E15" s="14"/>
      <c r="F15" s="14"/>
      <c r="G15" s="15"/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9:I20"/>
  <sheetViews>
    <sheetView showGridLines="0" workbookViewId="0">
      <selection activeCell="E13" sqref="E13"/>
    </sheetView>
  </sheetViews>
  <sheetFormatPr baseColWidth="10" defaultRowHeight="15" x14ac:dyDescent="0.25"/>
  <cols>
    <col min="2" max="2" width="33.42578125" customWidth="1"/>
    <col min="3" max="3" width="21" customWidth="1"/>
    <col min="4" max="4" width="20.42578125" customWidth="1"/>
    <col min="5" max="5" width="23.85546875" customWidth="1"/>
    <col min="6" max="6" width="17.7109375" customWidth="1"/>
    <col min="9" max="9" width="26.42578125" customWidth="1"/>
  </cols>
  <sheetData>
    <row r="9" spans="2:9" x14ac:dyDescent="0.25">
      <c r="I9" t="s">
        <v>8</v>
      </c>
    </row>
    <row r="10" spans="2:9" x14ac:dyDescent="0.25">
      <c r="I10" t="s">
        <v>37</v>
      </c>
    </row>
    <row r="11" spans="2:9" x14ac:dyDescent="0.25">
      <c r="I11" t="s">
        <v>36</v>
      </c>
    </row>
    <row r="12" spans="2:9" x14ac:dyDescent="0.25">
      <c r="B12" s="1" t="s">
        <v>3</v>
      </c>
      <c r="C12" s="1" t="s">
        <v>35</v>
      </c>
      <c r="D12" s="1" t="s">
        <v>34</v>
      </c>
      <c r="E12" s="16" t="s">
        <v>43</v>
      </c>
      <c r="F12" s="1" t="s">
        <v>8</v>
      </c>
    </row>
    <row r="13" spans="2:9" x14ac:dyDescent="0.25">
      <c r="B13" s="5" t="s">
        <v>69</v>
      </c>
      <c r="C13" s="5" t="s">
        <v>38</v>
      </c>
      <c r="D13" s="5"/>
      <c r="E13" s="5">
        <f>SUMIF(movimiento_inversion[DESCRIPCIÓN], tabla_importaciones[[#This Row],[DESCRIPCIÓN]], movimiento_inversion[MONTO_INVERTIDO ])</f>
        <v>40000</v>
      </c>
      <c r="F13" s="3"/>
    </row>
    <row r="14" spans="2:9" x14ac:dyDescent="0.25">
      <c r="B14" s="5" t="s">
        <v>75</v>
      </c>
      <c r="C14" s="36">
        <v>44077</v>
      </c>
      <c r="D14" s="5"/>
      <c r="E14" s="5">
        <f>SUMIF(movimiento_inversion[DESCRIPCIÓN], tabla_importaciones[[#This Row],[DESCRIPCIÓN]], movimiento_inversion[MONTO_INVERTIDO ])</f>
        <v>80000</v>
      </c>
      <c r="F14" s="3"/>
    </row>
    <row r="15" spans="2:9" x14ac:dyDescent="0.25">
      <c r="B15" s="3"/>
      <c r="C15" s="3"/>
      <c r="D15" s="3"/>
      <c r="E15" s="5">
        <f>SUMIF(movimiento_inversion[DESCRIPCIÓN], tabla_importaciones[[#This Row],[DESCRIPCIÓN]], movimiento_inversion[MONTO_INVERTIDO ])</f>
        <v>0</v>
      </c>
      <c r="F15" s="3"/>
    </row>
    <row r="16" spans="2:9" x14ac:dyDescent="0.25">
      <c r="B16" s="3"/>
      <c r="C16" s="3"/>
      <c r="D16" s="3"/>
      <c r="E16" s="3"/>
      <c r="F16" s="3"/>
    </row>
    <row r="17" spans="2:6" x14ac:dyDescent="0.25">
      <c r="B17" s="3"/>
      <c r="C17" s="3"/>
      <c r="D17" s="3"/>
      <c r="E17" s="3"/>
      <c r="F17" s="3"/>
    </row>
    <row r="18" spans="2:6" x14ac:dyDescent="0.25">
      <c r="B18" s="3"/>
      <c r="C18" s="3"/>
      <c r="D18" s="3"/>
      <c r="E18" s="3"/>
      <c r="F18" s="3"/>
    </row>
    <row r="19" spans="2:6" x14ac:dyDescent="0.25">
      <c r="B19" s="3"/>
      <c r="C19" s="3"/>
      <c r="D19" s="3"/>
      <c r="E19" s="3"/>
      <c r="F19" s="3"/>
    </row>
    <row r="20" spans="2:6" x14ac:dyDescent="0.25">
      <c r="D20" t="s">
        <v>55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C8:M39"/>
  <sheetViews>
    <sheetView showGridLines="0" zoomScale="85" zoomScaleNormal="85" workbookViewId="0">
      <selection activeCell="H45" sqref="H45"/>
    </sheetView>
  </sheetViews>
  <sheetFormatPr baseColWidth="10" defaultRowHeight="15" x14ac:dyDescent="0.25"/>
  <sheetData>
    <row r="8" spans="3:13" ht="15.75" thickBot="1" x14ac:dyDescent="0.3"/>
    <row r="9" spans="3:13" ht="15.75" thickBot="1" x14ac:dyDescent="0.3">
      <c r="C9" t="s">
        <v>9</v>
      </c>
      <c r="E9" s="48">
        <v>44115</v>
      </c>
      <c r="F9" s="50"/>
      <c r="H9" t="s">
        <v>5</v>
      </c>
      <c r="K9" s="39"/>
      <c r="L9" s="40"/>
      <c r="M9" s="41"/>
    </row>
    <row r="11" spans="3:13" ht="15.75" thickBot="1" x14ac:dyDescent="0.3"/>
    <row r="12" spans="3:13" ht="15.75" thickBot="1" x14ac:dyDescent="0.3">
      <c r="C12" t="s">
        <v>0</v>
      </c>
      <c r="E12" s="53">
        <v>1</v>
      </c>
      <c r="F12" s="54"/>
      <c r="H12" t="s">
        <v>21</v>
      </c>
      <c r="K12" s="42"/>
      <c r="L12" s="43"/>
      <c r="M12" s="44"/>
    </row>
    <row r="14" spans="3:13" ht="15.75" thickBot="1" x14ac:dyDescent="0.3"/>
    <row r="15" spans="3:13" ht="15.75" thickBot="1" x14ac:dyDescent="0.3">
      <c r="C15" t="s">
        <v>1</v>
      </c>
      <c r="E15" s="53" t="str">
        <f>IFERROR(VLOOKUP(E12,INVERSIONISTAS!A12:G5008,2,FALSE),"")</f>
        <v>CHRISTIAN</v>
      </c>
      <c r="F15" s="54"/>
      <c r="H15" t="s">
        <v>13</v>
      </c>
      <c r="K15" s="39">
        <f>IFERROR(K9+(K12*K9)," ")</f>
        <v>0</v>
      </c>
      <c r="L15" s="40"/>
      <c r="M15" s="41"/>
    </row>
    <row r="17" spans="3:13" ht="15.75" thickBot="1" x14ac:dyDescent="0.3"/>
    <row r="18" spans="3:13" ht="15.75" thickBot="1" x14ac:dyDescent="0.3">
      <c r="C18" t="s">
        <v>4</v>
      </c>
      <c r="E18" s="53" t="str">
        <f>IFERROR(VLOOKUP(E12,INVERSIONISTAS!A12:G5008,3,FALSE),"")</f>
        <v>PIZARRO</v>
      </c>
      <c r="F18" s="54"/>
      <c r="H18" t="s">
        <v>22</v>
      </c>
      <c r="K18" s="45"/>
      <c r="L18" s="46"/>
      <c r="M18" s="47"/>
    </row>
    <row r="20" spans="3:13" ht="15.75" thickBot="1" x14ac:dyDescent="0.3"/>
    <row r="21" spans="3:13" ht="15.75" thickBot="1" x14ac:dyDescent="0.3">
      <c r="C21" t="s">
        <v>12</v>
      </c>
      <c r="E21" s="53" t="str">
        <f>IFERROR(VLOOKUP(E12,INVERSIONISTAS!A12:G5008,4,FALSE),"")</f>
        <v>BARBARAN</v>
      </c>
      <c r="F21" s="54"/>
      <c r="H21" t="s">
        <v>14</v>
      </c>
      <c r="K21" s="48"/>
      <c r="L21" s="49"/>
      <c r="M21" s="50"/>
    </row>
    <row r="23" spans="3:13" ht="15.75" thickBot="1" x14ac:dyDescent="0.3"/>
    <row r="24" spans="3:13" ht="15.75" thickBot="1" x14ac:dyDescent="0.3">
      <c r="C24" t="s">
        <v>20</v>
      </c>
      <c r="E24" s="53"/>
      <c r="F24" s="54"/>
    </row>
    <row r="29" spans="3:13" x14ac:dyDescent="0.25">
      <c r="D29" s="52"/>
      <c r="E29" s="52"/>
    </row>
    <row r="30" spans="3:13" x14ac:dyDescent="0.25">
      <c r="D30" s="52"/>
      <c r="E30" s="52"/>
    </row>
    <row r="31" spans="3:13" x14ac:dyDescent="0.25">
      <c r="D31" s="52"/>
      <c r="E31" s="52"/>
    </row>
    <row r="32" spans="3:13" x14ac:dyDescent="0.25">
      <c r="D32" s="52"/>
      <c r="E32" s="52"/>
    </row>
    <row r="33" spans="4:5" x14ac:dyDescent="0.25">
      <c r="D33" s="52"/>
      <c r="E33" s="52"/>
    </row>
    <row r="34" spans="4:5" x14ac:dyDescent="0.25">
      <c r="D34" s="52"/>
      <c r="E34" s="52"/>
    </row>
    <row r="35" spans="4:5" x14ac:dyDescent="0.25">
      <c r="D35" s="51"/>
      <c r="E35" s="51"/>
    </row>
    <row r="38" spans="4:5" x14ac:dyDescent="0.25">
      <c r="D38" s="52"/>
      <c r="E38" s="52"/>
    </row>
    <row r="39" spans="4:5" x14ac:dyDescent="0.25">
      <c r="D39" s="51"/>
      <c r="E39" s="51"/>
    </row>
  </sheetData>
  <mergeCells count="20">
    <mergeCell ref="D35:E35"/>
    <mergeCell ref="D38:E38"/>
    <mergeCell ref="D39:E39"/>
    <mergeCell ref="E9:F9"/>
    <mergeCell ref="E12:F12"/>
    <mergeCell ref="E15:F15"/>
    <mergeCell ref="E18:F18"/>
    <mergeCell ref="E21:F21"/>
    <mergeCell ref="E24:F24"/>
    <mergeCell ref="D29:E29"/>
    <mergeCell ref="D30:E30"/>
    <mergeCell ref="D31:E31"/>
    <mergeCell ref="D32:E32"/>
    <mergeCell ref="D33:E33"/>
    <mergeCell ref="D34:E34"/>
    <mergeCell ref="K9:M9"/>
    <mergeCell ref="K12:M12"/>
    <mergeCell ref="K15:M15"/>
    <mergeCell ref="K18:M18"/>
    <mergeCell ref="K21:M21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INVERSIONISTAS!$A$14:$A$5008</xm:f>
          </x14:formula1>
          <xm:sqref>E12:F12</xm:sqref>
        </x14:dataValidation>
        <x14:dataValidation type="list" allowBlank="1" showInputMessage="1" showErrorMessage="1" xr:uid="{00000000-0002-0000-0200-000000000000}">
          <x14:formula1>
            <xm:f>IMPORTACIONES!$B$13:$B$22</xm:f>
          </x14:formula1>
          <xm:sqref>E24:F24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4:L38"/>
  <sheetViews>
    <sheetView topLeftCell="C1" workbookViewId="0">
      <selection activeCell="O21" sqref="O21"/>
    </sheetView>
  </sheetViews>
  <sheetFormatPr baseColWidth="10" defaultRowHeight="15" x14ac:dyDescent="0.25"/>
  <cols>
    <col min="1" max="1" width="16.7109375" customWidth="1"/>
    <col min="2" max="2" width="14.5703125" customWidth="1"/>
    <col min="3" max="3" width="29.28515625" customWidth="1"/>
    <col min="4" max="4" width="20.42578125" customWidth="1"/>
    <col min="5" max="5" width="21.28515625" customWidth="1"/>
    <col min="6" max="6" width="20.42578125" customWidth="1"/>
    <col min="7" max="7" width="22.140625" customWidth="1"/>
    <col min="8" max="8" width="17.42578125" customWidth="1"/>
    <col min="9" max="9" width="26" customWidth="1"/>
    <col min="10" max="10" width="22.140625" customWidth="1"/>
    <col min="11" max="11" width="13.28515625" customWidth="1"/>
    <col min="12" max="12" width="19.5703125" customWidth="1"/>
    <col min="14" max="14" width="20.7109375" customWidth="1"/>
  </cols>
  <sheetData>
    <row r="4" spans="1:12" x14ac:dyDescent="0.25">
      <c r="A4" t="s">
        <v>23</v>
      </c>
      <c r="B4" s="5" t="s">
        <v>0</v>
      </c>
      <c r="C4" s="22" t="s">
        <v>3</v>
      </c>
      <c r="D4" s="1" t="s">
        <v>1</v>
      </c>
      <c r="E4" s="1" t="s">
        <v>4</v>
      </c>
      <c r="F4" s="1" t="s">
        <v>12</v>
      </c>
      <c r="G4" s="1" t="s">
        <v>42</v>
      </c>
      <c r="H4" s="1" t="s">
        <v>6</v>
      </c>
      <c r="I4" s="1" t="s">
        <v>7</v>
      </c>
      <c r="J4" s="1" t="s">
        <v>22</v>
      </c>
      <c r="K4" s="4" t="s">
        <v>24</v>
      </c>
      <c r="L4" s="4" t="s">
        <v>8</v>
      </c>
    </row>
    <row r="5" spans="1:12" x14ac:dyDescent="0.25">
      <c r="A5" s="59">
        <v>44115</v>
      </c>
      <c r="B5" s="62">
        <v>1</v>
      </c>
      <c r="C5" s="60" t="s">
        <v>69</v>
      </c>
      <c r="D5" s="61" t="s">
        <v>25</v>
      </c>
      <c r="E5" s="61" t="s">
        <v>26</v>
      </c>
      <c r="F5" s="61" t="s">
        <v>27</v>
      </c>
      <c r="G5" s="24">
        <v>20000</v>
      </c>
      <c r="H5" s="24">
        <v>0</v>
      </c>
      <c r="I5" s="24">
        <f>movimiento_inversion[[#This Row],[MONTO_INVERTIDO ]]+movimiento_inversion[[#This Row],[MONTO_INVERTIDO ]]*(movimiento_inversion[[#This Row],[GANANCIA]]/100)</f>
        <v>20000</v>
      </c>
      <c r="J5" s="4"/>
      <c r="K5" s="4"/>
      <c r="L5" s="4"/>
    </row>
    <row r="6" spans="1:12" x14ac:dyDescent="0.25">
      <c r="A6" s="6">
        <v>44115</v>
      </c>
      <c r="B6" s="5">
        <v>2</v>
      </c>
      <c r="C6" s="38" t="s">
        <v>69</v>
      </c>
      <c r="D6" s="3" t="s">
        <v>39</v>
      </c>
      <c r="E6" s="3" t="s">
        <v>40</v>
      </c>
      <c r="F6" s="3" t="s">
        <v>41</v>
      </c>
      <c r="G6" s="4">
        <v>7000</v>
      </c>
      <c r="H6" s="4">
        <v>20</v>
      </c>
      <c r="I6" s="19">
        <f>movimiento_inversion[[#This Row],[MONTO_INVERTIDO ]]+movimiento_inversion[[#This Row],[MONTO_INVERTIDO ]]*(movimiento_inversion[[#This Row],[GANANCIA]]/100)</f>
        <v>8400</v>
      </c>
      <c r="J6" s="19"/>
      <c r="K6" s="19"/>
      <c r="L6" s="19"/>
    </row>
    <row r="7" spans="1:12" x14ac:dyDescent="0.25">
      <c r="B7" s="5">
        <v>3</v>
      </c>
      <c r="C7" s="38" t="s">
        <v>69</v>
      </c>
      <c r="D7" s="3" t="s">
        <v>78</v>
      </c>
      <c r="E7" s="3" t="s">
        <v>79</v>
      </c>
      <c r="F7" s="3" t="s">
        <v>26</v>
      </c>
      <c r="G7" s="19">
        <v>9000</v>
      </c>
      <c r="H7" s="19">
        <v>30</v>
      </c>
      <c r="I7" s="19">
        <f>movimiento_inversion[[#This Row],[MONTO_INVERTIDO ]]+movimiento_inversion[[#This Row],[MONTO_INVERTIDO ]]*(movimiento_inversion[[#This Row],[GANANCIA]]/100)</f>
        <v>11700</v>
      </c>
      <c r="J7" s="19"/>
      <c r="K7" s="19"/>
      <c r="L7" s="19"/>
    </row>
    <row r="8" spans="1:12" x14ac:dyDescent="0.25">
      <c r="B8" s="5"/>
      <c r="C8" t="s">
        <v>69</v>
      </c>
      <c r="D8" s="3" t="s">
        <v>80</v>
      </c>
      <c r="E8" s="3" t="s">
        <v>81</v>
      </c>
      <c r="F8" s="3"/>
      <c r="G8" s="5">
        <v>4000</v>
      </c>
      <c r="H8" s="5">
        <v>15</v>
      </c>
      <c r="I8" s="4">
        <f>movimiento_inversion[[#This Row],[MONTO_INVERTIDO ]]+movimiento_inversion[[#This Row],[MONTO_INVERTIDO ]]*(movimiento_inversion[[#This Row],[GANANCIA]]/100)</f>
        <v>4600</v>
      </c>
      <c r="J8" s="4"/>
      <c r="K8" s="4"/>
      <c r="L8" s="4"/>
    </row>
    <row r="9" spans="1:12" x14ac:dyDescent="0.25">
      <c r="B9" s="5"/>
      <c r="C9" t="s">
        <v>75</v>
      </c>
      <c r="D9" s="3" t="s">
        <v>85</v>
      </c>
      <c r="E9" s="3" t="s">
        <v>86</v>
      </c>
      <c r="F9" s="3"/>
      <c r="G9" s="5">
        <v>25000</v>
      </c>
      <c r="H9" s="5">
        <v>20</v>
      </c>
      <c r="I9" s="57">
        <f>movimiento_inversion[[#This Row],[MONTO_INVERTIDO ]]+movimiento_inversion[[#This Row],[MONTO_INVERTIDO ]]*(movimiento_inversion[[#This Row],[GANANCIA]]/100)</f>
        <v>30000</v>
      </c>
      <c r="J9" s="19"/>
      <c r="K9" s="19"/>
      <c r="L9" s="19"/>
    </row>
    <row r="10" spans="1:12" x14ac:dyDescent="0.25">
      <c r="A10" s="59"/>
      <c r="B10" s="62">
        <v>1</v>
      </c>
      <c r="C10" s="59" t="s">
        <v>75</v>
      </c>
      <c r="D10" s="61" t="s">
        <v>25</v>
      </c>
      <c r="E10" s="61" t="s">
        <v>26</v>
      </c>
      <c r="F10" s="61" t="s">
        <v>27</v>
      </c>
      <c r="G10" s="62">
        <v>40000</v>
      </c>
      <c r="H10" s="62">
        <v>0</v>
      </c>
      <c r="I10" s="63">
        <f>movimiento_inversion[[#This Row],[MONTO_INVERTIDO ]]+movimiento_inversion[[#This Row],[MONTO_INVERTIDO ]]*(movimiento_inversion[[#This Row],[GANANCIA]]/100)</f>
        <v>40000</v>
      </c>
      <c r="J10" s="19"/>
      <c r="K10" s="19"/>
      <c r="L10" s="19"/>
    </row>
    <row r="11" spans="1:12" x14ac:dyDescent="0.25">
      <c r="B11" s="5"/>
      <c r="C11" t="s">
        <v>75</v>
      </c>
      <c r="D11" s="3" t="s">
        <v>87</v>
      </c>
      <c r="E11" s="3" t="s">
        <v>40</v>
      </c>
      <c r="F11" s="3"/>
      <c r="G11" s="5">
        <v>5000</v>
      </c>
      <c r="H11" s="5">
        <v>15</v>
      </c>
      <c r="I11" s="57">
        <f>movimiento_inversion[[#This Row],[MONTO_INVERTIDO ]]+movimiento_inversion[[#This Row],[MONTO_INVERTIDO ]]*(movimiento_inversion[[#This Row],[GANANCIA]]/100)</f>
        <v>5750</v>
      </c>
      <c r="J11" s="19"/>
      <c r="K11" s="19"/>
      <c r="L11" s="19"/>
    </row>
    <row r="12" spans="1:12" x14ac:dyDescent="0.25">
      <c r="A12" s="59"/>
      <c r="B12" s="62">
        <v>1</v>
      </c>
      <c r="C12" s="59" t="s">
        <v>75</v>
      </c>
      <c r="D12" s="61" t="s">
        <v>25</v>
      </c>
      <c r="E12" s="61" t="s">
        <v>26</v>
      </c>
      <c r="F12" s="61" t="s">
        <v>27</v>
      </c>
      <c r="G12" s="62">
        <v>10000</v>
      </c>
      <c r="H12" s="62">
        <v>0</v>
      </c>
      <c r="I12" s="63">
        <f>movimiento_inversion[[#This Row],[MONTO_INVERTIDO ]]+movimiento_inversion[[#This Row],[MONTO_INVERTIDO ]]*(movimiento_inversion[[#This Row],[GANANCIA]]/100)</f>
        <v>10000</v>
      </c>
      <c r="J12" s="19"/>
      <c r="K12" s="19"/>
      <c r="L12" s="19"/>
    </row>
    <row r="13" spans="1:12" x14ac:dyDescent="0.25">
      <c r="B13" s="5"/>
      <c r="C13" s="37"/>
      <c r="D13" s="3"/>
      <c r="E13" s="3"/>
      <c r="F13" s="3"/>
      <c r="G13" s="4"/>
      <c r="H13" s="4"/>
      <c r="I13" s="4">
        <f>movimiento_inversion[[#This Row],[MONTO_INVERTIDO ]]+movimiento_inversion[[#This Row],[MONTO_INVERTIDO ]]*(movimiento_inversion[[#This Row],[GANANCIA]]/100)</f>
        <v>0</v>
      </c>
      <c r="J13" s="4"/>
      <c r="K13" s="4"/>
      <c r="L13" s="4"/>
    </row>
    <row r="14" spans="1:12" x14ac:dyDescent="0.25">
      <c r="B14" s="3"/>
      <c r="C14" s="3"/>
      <c r="D14" s="3"/>
      <c r="E14" s="3"/>
      <c r="F14" s="3"/>
    </row>
    <row r="15" spans="1:12" x14ac:dyDescent="0.25">
      <c r="B15" s="3"/>
      <c r="C15" s="3"/>
      <c r="D15" s="3"/>
      <c r="E15" s="3"/>
      <c r="F15" s="3"/>
      <c r="I15" s="5"/>
    </row>
    <row r="16" spans="1:12" x14ac:dyDescent="0.25">
      <c r="B16" s="2"/>
      <c r="C16" s="2"/>
      <c r="D16" s="3"/>
      <c r="E16" s="3"/>
      <c r="F16" s="3"/>
      <c r="G16" s="3"/>
    </row>
    <row r="17" spans="2:12" x14ac:dyDescent="0.25">
      <c r="B17" s="2"/>
      <c r="C17" s="2"/>
      <c r="D17" s="3"/>
      <c r="G17" s="3"/>
    </row>
    <row r="18" spans="2:12" x14ac:dyDescent="0.25">
      <c r="B18" s="2"/>
      <c r="C18" s="2"/>
      <c r="D18" s="3"/>
      <c r="G18" s="3"/>
    </row>
    <row r="28" spans="2:12" x14ac:dyDescent="0.25">
      <c r="K28" s="52"/>
      <c r="L28" s="52"/>
    </row>
    <row r="29" spans="2:12" x14ac:dyDescent="0.25">
      <c r="K29" s="52"/>
      <c r="L29" s="52"/>
    </row>
    <row r="30" spans="2:12" x14ac:dyDescent="0.25">
      <c r="K30" s="52"/>
      <c r="L30" s="52"/>
    </row>
    <row r="31" spans="2:12" x14ac:dyDescent="0.25">
      <c r="K31" s="52"/>
      <c r="L31" s="52"/>
    </row>
    <row r="32" spans="2:12" x14ac:dyDescent="0.25">
      <c r="K32" s="52"/>
      <c r="L32" s="52"/>
    </row>
    <row r="33" spans="11:12" x14ac:dyDescent="0.25">
      <c r="K33" s="52"/>
      <c r="L33" s="52"/>
    </row>
    <row r="34" spans="11:12" x14ac:dyDescent="0.25">
      <c r="K34" s="51"/>
      <c r="L34" s="51"/>
    </row>
    <row r="37" spans="11:12" x14ac:dyDescent="0.25">
      <c r="K37" s="52"/>
      <c r="L37" s="52"/>
    </row>
    <row r="38" spans="11:12" x14ac:dyDescent="0.25">
      <c r="K38" s="51"/>
      <c r="L38" s="51"/>
    </row>
  </sheetData>
  <dataConsolidate/>
  <mergeCells count="9">
    <mergeCell ref="K37:L37"/>
    <mergeCell ref="K38:L38"/>
    <mergeCell ref="K28:L28"/>
    <mergeCell ref="K29:L29"/>
    <mergeCell ref="K30:L30"/>
    <mergeCell ref="K32:L32"/>
    <mergeCell ref="K33:L33"/>
    <mergeCell ref="K31:L31"/>
    <mergeCell ref="K34:L3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1:L22"/>
  <sheetViews>
    <sheetView tabSelected="1" workbookViewId="0">
      <selection activeCell="K28" sqref="K28"/>
    </sheetView>
  </sheetViews>
  <sheetFormatPr baseColWidth="10" defaultRowHeight="15" x14ac:dyDescent="0.25"/>
  <cols>
    <col min="1" max="1" width="25" customWidth="1"/>
    <col min="2" max="2" width="19.28515625" customWidth="1"/>
    <col min="3" max="3" width="37.85546875" customWidth="1"/>
    <col min="4" max="4" width="24.5703125" customWidth="1"/>
    <col min="5" max="5" width="23.42578125" customWidth="1"/>
    <col min="6" max="6" width="20.7109375" customWidth="1"/>
    <col min="7" max="7" width="20.85546875" customWidth="1"/>
    <col min="8" max="8" width="19.140625" customWidth="1"/>
    <col min="9" max="9" width="23" customWidth="1"/>
  </cols>
  <sheetData>
    <row r="11" spans="1:9" x14ac:dyDescent="0.25">
      <c r="A11" s="5" t="s">
        <v>3</v>
      </c>
      <c r="B11" s="5" t="s">
        <v>0</v>
      </c>
      <c r="C11" s="5" t="s">
        <v>46</v>
      </c>
      <c r="D11" s="5" t="s">
        <v>16</v>
      </c>
      <c r="E11" s="5" t="s">
        <v>45</v>
      </c>
      <c r="F11" s="5" t="s">
        <v>18</v>
      </c>
      <c r="G11" s="5" t="s">
        <v>19</v>
      </c>
      <c r="H11" s="5" t="s">
        <v>17</v>
      </c>
      <c r="I11" s="5" t="s">
        <v>76</v>
      </c>
    </row>
    <row r="12" spans="1:9" x14ac:dyDescent="0.25">
      <c r="A12" s="18" t="s">
        <v>69</v>
      </c>
      <c r="B12" s="18">
        <v>1</v>
      </c>
      <c r="C12" s="18" t="s">
        <v>44</v>
      </c>
      <c r="D12" s="20">
        <v>300</v>
      </c>
      <c r="E12" s="21">
        <v>400</v>
      </c>
      <c r="F12" s="18">
        <v>100</v>
      </c>
      <c r="G12" s="18">
        <f>SUMIF(venta_productos[CODIGO],tabla_productos[[#This Row],[CODIGO]],venta_productos[CANTIDAD])</f>
        <v>100</v>
      </c>
      <c r="H12" s="24">
        <f>tabla_productos[[#This Row],[ENTRADAS]]-tabla_productos[[#This Row],[SALIDAS]]</f>
        <v>0</v>
      </c>
      <c r="I12" s="21">
        <f>tabla_productos[[#This Row],[PRECIO COMPRA]]*tabla_productos[[#This Row],[ENTRADAS]]</f>
        <v>30000</v>
      </c>
    </row>
    <row r="13" spans="1:9" x14ac:dyDescent="0.25">
      <c r="A13" s="19" t="s">
        <v>75</v>
      </c>
      <c r="B13" s="19">
        <v>2</v>
      </c>
      <c r="C13" s="19" t="s">
        <v>82</v>
      </c>
      <c r="D13" s="20">
        <v>200</v>
      </c>
      <c r="E13" s="21">
        <v>450</v>
      </c>
      <c r="F13" s="19">
        <v>200</v>
      </c>
      <c r="G13" s="19">
        <f>SUMIF(venta_productos[CODIGO],tabla_productos[[#This Row],[CODIGO]],venta_productos[CANTIDAD])</f>
        <v>150</v>
      </c>
      <c r="H13" s="24">
        <f>tabla_productos[[#This Row],[ENTRADAS]]-tabla_productos[[#This Row],[SALIDAS]]</f>
        <v>50</v>
      </c>
      <c r="I13" s="21">
        <f>tabla_productos[[#This Row],[PRECIO COMPRA]]*tabla_productos[[#This Row],[ENTRADAS]]</f>
        <v>40000</v>
      </c>
    </row>
    <row r="14" spans="1:9" x14ac:dyDescent="0.25">
      <c r="G14">
        <f>SUMIF(venta_productos[CODIGO],tabla_productos[[#This Row],[CODIGO]],venta_productos[CANTIDAD])</f>
        <v>0</v>
      </c>
      <c r="H14">
        <f>tabla_productos[[#This Row],[ENTRADAS]]-tabla_productos[[#This Row],[SALIDAS]]</f>
        <v>0</v>
      </c>
      <c r="I14">
        <f>tabla_productos[[#This Row],[PRECIO COMPRA]]*tabla_productos[[#This Row],[ENTRADAS]]</f>
        <v>0</v>
      </c>
    </row>
    <row r="22" spans="7:12" x14ac:dyDescent="0.25">
      <c r="G22" s="55"/>
      <c r="H22" s="55"/>
      <c r="I22" s="55"/>
      <c r="J22" s="55"/>
      <c r="K22" s="55"/>
      <c r="L22" s="55"/>
    </row>
  </sheetData>
  <mergeCells count="1">
    <mergeCell ref="G22:L22"/>
  </mergeCells>
  <pageMargins left="0.7" right="0.7" top="0.75" bottom="0.75" header="0.3" footer="0.3"/>
  <pageSetup orientation="portrait" horizontalDpi="360" verticalDpi="360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89C4-5928-462C-9E4F-A85112DC40F9}">
  <sheetPr codeName="Hoja6"/>
  <dimension ref="A12:O23"/>
  <sheetViews>
    <sheetView workbookViewId="0">
      <selection activeCell="I23" sqref="I23"/>
    </sheetView>
  </sheetViews>
  <sheetFormatPr baseColWidth="10" defaultRowHeight="15" x14ac:dyDescent="0.25"/>
  <cols>
    <col min="1" max="1" width="28" customWidth="1"/>
    <col min="2" max="2" width="18.5703125" customWidth="1"/>
    <col min="3" max="3" width="23.28515625" customWidth="1"/>
    <col min="4" max="4" width="19.85546875" customWidth="1"/>
    <col min="5" max="5" width="14.7109375" customWidth="1"/>
    <col min="6" max="6" width="18" customWidth="1"/>
    <col min="7" max="7" width="19" customWidth="1"/>
    <col min="8" max="8" width="24.5703125" customWidth="1"/>
    <col min="9" max="9" width="33.140625" customWidth="1"/>
    <col min="10" max="10" width="19" customWidth="1"/>
    <col min="11" max="11" width="17.28515625" customWidth="1"/>
    <col min="12" max="12" width="21.140625" customWidth="1"/>
    <col min="13" max="13" width="21.5703125" customWidth="1"/>
    <col min="14" max="14" width="25" customWidth="1"/>
    <col min="15" max="15" width="16.85546875" customWidth="1"/>
  </cols>
  <sheetData>
    <row r="12" spans="1:15" s="5" customFormat="1" x14ac:dyDescent="0.25">
      <c r="A12" s="26" t="s">
        <v>3</v>
      </c>
      <c r="B12" s="25" t="s">
        <v>23</v>
      </c>
      <c r="C12" s="32" t="s">
        <v>61</v>
      </c>
      <c r="D12" s="27" t="s">
        <v>0</v>
      </c>
      <c r="E12" s="26" t="s">
        <v>47</v>
      </c>
      <c r="F12" s="26" t="s">
        <v>50</v>
      </c>
      <c r="G12" s="26" t="s">
        <v>48</v>
      </c>
      <c r="H12" s="26" t="s">
        <v>49</v>
      </c>
      <c r="I12" s="30" t="s">
        <v>54</v>
      </c>
      <c r="J12" s="28" t="s">
        <v>51</v>
      </c>
      <c r="K12" s="30" t="s">
        <v>53</v>
      </c>
      <c r="L12" s="29" t="s">
        <v>1</v>
      </c>
      <c r="M12" s="29" t="s">
        <v>4</v>
      </c>
      <c r="N12" s="29" t="s">
        <v>12</v>
      </c>
      <c r="O12" s="26" t="s">
        <v>52</v>
      </c>
    </row>
    <row r="13" spans="1:15" s="5" customFormat="1" x14ac:dyDescent="0.25">
      <c r="A13" t="s">
        <v>69</v>
      </c>
      <c r="B13" s="35">
        <v>44169</v>
      </c>
      <c r="C13" s="35" t="s">
        <v>62</v>
      </c>
      <c r="D13" s="34">
        <v>1</v>
      </c>
      <c r="E13" s="33" t="s">
        <v>44</v>
      </c>
      <c r="F13" s="33">
        <v>80</v>
      </c>
      <c r="G13" s="33">
        <v>400</v>
      </c>
      <c r="H13" s="33">
        <v>15</v>
      </c>
      <c r="I13" s="33">
        <v>385</v>
      </c>
      <c r="J13" s="33">
        <f>venta_productos[[#This Row],[VENTA FINAL]]*venta_productos[[#This Row],[CANTIDAD]]</f>
        <v>30800</v>
      </c>
      <c r="K13" s="33">
        <v>2</v>
      </c>
      <c r="L13" s="34" t="s">
        <v>56</v>
      </c>
      <c r="M13" s="34" t="s">
        <v>57</v>
      </c>
      <c r="N13" s="34" t="s">
        <v>58</v>
      </c>
      <c r="O13" s="33"/>
    </row>
    <row r="14" spans="1:15" x14ac:dyDescent="0.25">
      <c r="A14" t="s">
        <v>69</v>
      </c>
      <c r="B14" s="36">
        <v>44168</v>
      </c>
      <c r="C14" s="35" t="s">
        <v>63</v>
      </c>
      <c r="D14" s="18">
        <v>1</v>
      </c>
      <c r="E14" s="18" t="s">
        <v>44</v>
      </c>
      <c r="F14" s="18">
        <v>15</v>
      </c>
      <c r="G14" s="5">
        <v>400</v>
      </c>
      <c r="H14" s="18">
        <v>20</v>
      </c>
      <c r="I14" s="18">
        <v>380</v>
      </c>
      <c r="J14" s="18">
        <f>venta_productos[[#This Row],[VENTA FINAL]]*venta_productos[[#This Row],[CANTIDAD]]</f>
        <v>5700</v>
      </c>
      <c r="K14" s="18">
        <v>1</v>
      </c>
      <c r="L14" s="5" t="s">
        <v>39</v>
      </c>
      <c r="M14" s="5" t="s">
        <v>40</v>
      </c>
      <c r="N14" s="5" t="s">
        <v>41</v>
      </c>
    </row>
    <row r="15" spans="1:15" x14ac:dyDescent="0.25">
      <c r="A15" t="s">
        <v>69</v>
      </c>
      <c r="B15" s="6">
        <v>44168</v>
      </c>
      <c r="C15" t="s">
        <v>77</v>
      </c>
      <c r="D15" s="5">
        <v>1</v>
      </c>
      <c r="E15" s="5" t="s">
        <v>44</v>
      </c>
      <c r="F15" s="5">
        <v>5</v>
      </c>
      <c r="G15" s="5">
        <v>400</v>
      </c>
      <c r="H15" s="5">
        <v>0</v>
      </c>
      <c r="I15" s="5">
        <v>400</v>
      </c>
      <c r="J15" s="5">
        <f>venta_productos[[#This Row],[VENTA FINAL]]*venta_productos[[#This Row],[CANTIDAD]]</f>
        <v>2000</v>
      </c>
    </row>
    <row r="16" spans="1:15" x14ac:dyDescent="0.25">
      <c r="A16" t="s">
        <v>75</v>
      </c>
      <c r="B16" s="6">
        <v>44168</v>
      </c>
      <c r="C16" t="s">
        <v>88</v>
      </c>
      <c r="D16" s="5">
        <v>2</v>
      </c>
      <c r="E16" s="5" t="s">
        <v>82</v>
      </c>
      <c r="F16" s="5">
        <v>150</v>
      </c>
      <c r="G16" s="5">
        <v>450</v>
      </c>
      <c r="H16" s="5">
        <v>30</v>
      </c>
      <c r="I16" s="5">
        <v>420</v>
      </c>
      <c r="J16" s="58">
        <f>venta_productos[[#This Row],[VENTA FINAL]]*venta_productos[[#This Row],[CANTIDAD]]</f>
        <v>63000</v>
      </c>
    </row>
    <row r="23" spans="11:11" x14ac:dyDescent="0.25">
      <c r="K23" s="5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AE6F9-B61A-4ABF-91C6-2AA59D1568EE}">
  <sheetPr codeName="Hoja7"/>
  <dimension ref="A11:H30"/>
  <sheetViews>
    <sheetView workbookViewId="0">
      <selection activeCell="F14" sqref="F14"/>
    </sheetView>
  </sheetViews>
  <sheetFormatPr baseColWidth="10" defaultRowHeight="15" x14ac:dyDescent="0.25"/>
  <cols>
    <col min="2" max="2" width="25.85546875" customWidth="1"/>
    <col min="3" max="4" width="17.42578125" customWidth="1"/>
    <col min="5" max="5" width="30.42578125" customWidth="1"/>
    <col min="6" max="6" width="22.85546875" customWidth="1"/>
    <col min="7" max="7" width="34.85546875" customWidth="1"/>
    <col min="8" max="8" width="52" customWidth="1"/>
  </cols>
  <sheetData>
    <row r="11" spans="1:8" x14ac:dyDescent="0.25">
      <c r="A11" s="23" t="s">
        <v>0</v>
      </c>
      <c r="B11" s="23" t="s">
        <v>3</v>
      </c>
      <c r="C11" s="23" t="s">
        <v>64</v>
      </c>
      <c r="D11" s="5" t="s">
        <v>61</v>
      </c>
      <c r="E11" s="23" t="s">
        <v>59</v>
      </c>
      <c r="F11" s="5" t="s">
        <v>76</v>
      </c>
      <c r="G11" s="23" t="s">
        <v>60</v>
      </c>
      <c r="H11" s="5" t="s">
        <v>15</v>
      </c>
    </row>
    <row r="12" spans="1:8" x14ac:dyDescent="0.25">
      <c r="A12" s="18">
        <v>1</v>
      </c>
      <c r="B12" t="s">
        <v>69</v>
      </c>
      <c r="E12" t="s">
        <v>65</v>
      </c>
      <c r="F12" s="20">
        <v>295</v>
      </c>
      <c r="G12" t="s">
        <v>66</v>
      </c>
    </row>
    <row r="13" spans="1:8" x14ac:dyDescent="0.25">
      <c r="A13" s="18">
        <v>2</v>
      </c>
      <c r="B13" t="s">
        <v>69</v>
      </c>
      <c r="E13" t="s">
        <v>67</v>
      </c>
      <c r="F13" s="20">
        <v>4000</v>
      </c>
      <c r="G13" t="s">
        <v>68</v>
      </c>
    </row>
    <row r="14" spans="1:8" x14ac:dyDescent="0.25">
      <c r="A14" s="18">
        <v>3</v>
      </c>
      <c r="B14" s="23" t="s">
        <v>75</v>
      </c>
      <c r="E14" t="s">
        <v>83</v>
      </c>
      <c r="F14" s="56">
        <v>50</v>
      </c>
      <c r="G14" t="s">
        <v>84</v>
      </c>
    </row>
    <row r="15" spans="1:8" x14ac:dyDescent="0.25">
      <c r="A15" s="18"/>
      <c r="B15" s="18"/>
    </row>
    <row r="16" spans="1:8" x14ac:dyDescent="0.25">
      <c r="A16" s="18"/>
      <c r="B16" s="18"/>
    </row>
    <row r="17" spans="1:6" x14ac:dyDescent="0.25">
      <c r="A17" s="18"/>
      <c r="B17" s="18"/>
    </row>
    <row r="18" spans="1:6" x14ac:dyDescent="0.25">
      <c r="A18" s="18"/>
      <c r="B18" s="18"/>
    </row>
    <row r="19" spans="1:6" x14ac:dyDescent="0.25">
      <c r="A19" s="18"/>
      <c r="B19" s="18"/>
    </row>
    <row r="20" spans="1:6" x14ac:dyDescent="0.25">
      <c r="A20" s="18"/>
      <c r="B20" s="18"/>
      <c r="F20" s="56">
        <f>SUM(F12:F13)</f>
        <v>4295</v>
      </c>
    </row>
    <row r="21" spans="1:6" x14ac:dyDescent="0.25">
      <c r="A21" s="18"/>
      <c r="B21" s="18"/>
    </row>
    <row r="22" spans="1:6" x14ac:dyDescent="0.25">
      <c r="A22" s="18"/>
      <c r="B22" s="18"/>
    </row>
    <row r="23" spans="1:6" x14ac:dyDescent="0.25">
      <c r="A23" s="18"/>
      <c r="B23" s="18"/>
    </row>
    <row r="24" spans="1:6" x14ac:dyDescent="0.25">
      <c r="A24" s="18"/>
      <c r="B24" s="18"/>
    </row>
    <row r="25" spans="1:6" x14ac:dyDescent="0.25">
      <c r="A25" s="18"/>
      <c r="B25" s="18"/>
    </row>
    <row r="26" spans="1:6" x14ac:dyDescent="0.25">
      <c r="A26" s="18"/>
      <c r="B26" s="18"/>
    </row>
    <row r="27" spans="1:6" x14ac:dyDescent="0.25">
      <c r="A27" s="18"/>
      <c r="B27" s="18"/>
    </row>
    <row r="28" spans="1:6" x14ac:dyDescent="0.25">
      <c r="A28" s="18"/>
      <c r="B28" s="18"/>
    </row>
    <row r="29" spans="1:6" x14ac:dyDescent="0.25">
      <c r="A29" s="18"/>
      <c r="B29" s="18"/>
    </row>
    <row r="30" spans="1:6" x14ac:dyDescent="0.25">
      <c r="A30" s="18"/>
      <c r="B30" s="18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9D0DB-3FF0-45D3-A783-CF79668A8043}">
  <sheetPr codeName="Hoja8"/>
  <dimension ref="A10:G10"/>
  <sheetViews>
    <sheetView workbookViewId="0">
      <selection activeCell="G29" sqref="G29"/>
    </sheetView>
  </sheetViews>
  <sheetFormatPr baseColWidth="10" defaultRowHeight="15" x14ac:dyDescent="0.25"/>
  <cols>
    <col min="1" max="1" width="18" customWidth="1"/>
    <col min="2" max="2" width="21.28515625" customWidth="1"/>
    <col min="3" max="3" width="22.140625" customWidth="1"/>
    <col min="4" max="4" width="34.42578125" customWidth="1"/>
    <col min="5" max="5" width="17.140625" customWidth="1"/>
    <col min="6" max="6" width="20.28515625" customWidth="1"/>
    <col min="7" max="7" width="19.42578125" customWidth="1"/>
  </cols>
  <sheetData>
    <row r="10" spans="1:7" x14ac:dyDescent="0.25">
      <c r="A10" t="s">
        <v>53</v>
      </c>
      <c r="B10" t="s">
        <v>1</v>
      </c>
      <c r="C10" t="s">
        <v>4</v>
      </c>
      <c r="D10" t="s">
        <v>12</v>
      </c>
      <c r="E10" t="s">
        <v>2</v>
      </c>
      <c r="F10" t="s">
        <v>28</v>
      </c>
      <c r="G10" t="s">
        <v>10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C368C-3E63-4E14-9F53-5F361CC86762}">
  <sheetPr codeName="Hoja9"/>
  <dimension ref="B6:L21"/>
  <sheetViews>
    <sheetView workbookViewId="0">
      <selection activeCell="I7" sqref="I7"/>
    </sheetView>
  </sheetViews>
  <sheetFormatPr baseColWidth="10" defaultRowHeight="15" x14ac:dyDescent="0.25"/>
  <cols>
    <col min="2" max="2" width="37" customWidth="1"/>
    <col min="3" max="3" width="38.42578125" customWidth="1"/>
    <col min="4" max="4" width="26.85546875" customWidth="1"/>
    <col min="5" max="5" width="31.7109375" customWidth="1"/>
    <col min="6" max="6" width="23.140625" customWidth="1"/>
    <col min="7" max="7" width="28.85546875" customWidth="1"/>
    <col min="8" max="8" width="31.7109375" customWidth="1"/>
    <col min="9" max="9" width="31" customWidth="1"/>
    <col min="10" max="10" width="33.7109375" customWidth="1"/>
    <col min="11" max="11" width="25.7109375" customWidth="1"/>
  </cols>
  <sheetData>
    <row r="6" spans="2:11" x14ac:dyDescent="0.25">
      <c r="B6" s="18" t="s">
        <v>3</v>
      </c>
      <c r="C6" s="5" t="s">
        <v>90</v>
      </c>
      <c r="D6" s="5" t="s">
        <v>71</v>
      </c>
      <c r="E6" s="19" t="s">
        <v>70</v>
      </c>
      <c r="F6" t="s">
        <v>72</v>
      </c>
      <c r="G6" t="s">
        <v>73</v>
      </c>
      <c r="H6" s="5" t="s">
        <v>91</v>
      </c>
      <c r="I6" t="s">
        <v>89</v>
      </c>
      <c r="J6" s="5" t="s">
        <v>92</v>
      </c>
      <c r="K6" s="5" t="s">
        <v>93</v>
      </c>
    </row>
    <row r="7" spans="2:11" x14ac:dyDescent="0.25">
      <c r="B7" s="5" t="s">
        <v>75</v>
      </c>
      <c r="C7" s="5">
        <f>IFERROR(VLOOKUP(reportes[[#This Row],[DESCRIPCIÓN]],tabla_importaciones[],MATCH("CAPITAL",tabla_importaciones[#Headers],0),FALSE), " - ")</f>
        <v>80000</v>
      </c>
      <c r="D7" s="5">
        <f>IFERROR(VLOOKUP(reportes[[#This Row],[DESCRIPCIÓN]],tabla_productos[],MATCH("MONTO_GASTADO",tabla_productos[#Headers],0),FALSE), " - ")</f>
        <v>40000</v>
      </c>
      <c r="E7" s="19">
        <f>SUMIF(gastos_administrativos[DESCRIPCIÓN], reportes[[#This Row],[DESCRIPCIÓN]], gastos_administrativos[MONTO_GASTADO])</f>
        <v>50</v>
      </c>
      <c r="F7" s="19">
        <f>SUMIF(venta_productos[DESCRIPCIÓN], reportes[[#This Row],[DESCRIPCIÓN]], venta_productos[TOTAL_VENTA])</f>
        <v>63000</v>
      </c>
      <c r="G7" s="19">
        <f>SUMIF(movimiento_inversion[DESCRIPCIÓN], reportes[[#This Row],[DESCRIPCIÓN]], movimiento_inversion[MONTO_TOTAL])</f>
        <v>85750</v>
      </c>
      <c r="H7" s="19">
        <f>SUMIFS(movimiento_inversion[MONTO_TOTAL], movimiento_inversion[CODIGO],1,movimiento_inversion[DESCRIPCIÓN],reportes[[#This Row],[DESCRIPCIÓN]])</f>
        <v>50000</v>
      </c>
      <c r="I7" s="19">
        <f>reportes[[#This Row],[PAGO INVERSIONISTAS]]-reportes[[#This Row],[JOVA_INVERSION]]</f>
        <v>35750</v>
      </c>
      <c r="J7" s="19">
        <f>IFERROR(reportes[[#This Row],[CAPITAL INVERSIONISTAS]]-reportes[[#This Row],[COMPRA PRODUCTOS]]-reportes[[#This Row],[GASTOS ADMINISTRATIVOS]]+reportes[[#This Row],[VENTA PRODUCTOS]]-reportes[[#This Row],[PAGO INVERSIONISTAS]]+reportes[[#This Row],[JOVA_INVERSION]],0)</f>
        <v>67200</v>
      </c>
      <c r="K7" s="63">
        <f>IFERROR(reportes[[#This Row],[TOTAL]]-reportes[[#This Row],[JOVA_INVERSION]],0)</f>
        <v>17200</v>
      </c>
    </row>
    <row r="8" spans="2:11" x14ac:dyDescent="0.25">
      <c r="B8" s="5" t="s">
        <v>69</v>
      </c>
      <c r="C8" s="5">
        <f>IFERROR(VLOOKUP(reportes[[#This Row],[DESCRIPCIÓN]],tabla_importaciones[],MATCH("CAPITAL",tabla_importaciones[#Headers],0),FALSE), " - ")</f>
        <v>40000</v>
      </c>
      <c r="D8" s="5">
        <f>IFERROR(VLOOKUP(reportes[[#This Row],[DESCRIPCIÓN]],tabla_productos[],MATCH("MONTO_GASTADO",tabla_productos[#Headers],0),FALSE), " - ")</f>
        <v>30000</v>
      </c>
      <c r="E8" s="19">
        <f>SUMIF(gastos_administrativos[DESCRIPCIÓN], reportes[[#This Row],[DESCRIPCIÓN]], gastos_administrativos[MONTO_GASTADO])</f>
        <v>4295</v>
      </c>
      <c r="F8" s="19">
        <f>SUMIF(venta_productos[DESCRIPCIÓN], reportes[[#This Row],[DESCRIPCIÓN]], venta_productos[TOTAL_VENTA])</f>
        <v>38500</v>
      </c>
      <c r="G8" s="19">
        <f>SUMIF(movimiento_inversion[DESCRIPCIÓN], reportes[[#This Row],[DESCRIPCIÓN]], movimiento_inversion[MONTO_TOTAL])</f>
        <v>44700</v>
      </c>
      <c r="H8" s="19">
        <f>SUMIFS(movimiento_inversion[MONTO_TOTAL], movimiento_inversion[CODIGO],1,movimiento_inversion[DESCRIPCIÓN],reportes[[#This Row],[DESCRIPCIÓN]])</f>
        <v>20000</v>
      </c>
      <c r="I8" s="19">
        <f>reportes[[#This Row],[PAGO INVERSIONISTAS]]-reportes[[#This Row],[JOVA_INVERSION]]</f>
        <v>24700</v>
      </c>
      <c r="J8" s="19">
        <f>IFERROR(reportes[[#This Row],[CAPITAL INVERSIONISTAS]]-reportes[[#This Row],[COMPRA PRODUCTOS]]-reportes[[#This Row],[GASTOS ADMINISTRATIVOS]]+reportes[[#This Row],[VENTA PRODUCTOS]]-reportes[[#This Row],[PAGO INVERSIONISTAS]]+reportes[[#This Row],[JOVA_INVERSION]],0)</f>
        <v>19505</v>
      </c>
      <c r="K8" s="63">
        <f>IFERROR(reportes[[#This Row],[TOTAL]]-reportes[[#This Row],[JOVA_INVERSION]],0)</f>
        <v>-495</v>
      </c>
    </row>
    <row r="9" spans="2:11" x14ac:dyDescent="0.25">
      <c r="B9" s="5" t="s">
        <v>74</v>
      </c>
      <c r="C9" s="19" t="str">
        <f>IFERROR(VLOOKUP(reportes[[#This Row],[DESCRIPCIÓN]],tabla_importaciones[],MATCH("CAPITAL",tabla_importaciones[#Headers],0),FALSE), " - ")</f>
        <v xml:space="preserve"> - </v>
      </c>
      <c r="D9" s="5" t="str">
        <f>IFERROR(VLOOKUP(reportes[[#This Row],[DESCRIPCIÓN]],tabla_productos[],MATCH("MONTO_GASTADO",tabla_productos[#Headers],0),FALSE), " - ")</f>
        <v xml:space="preserve"> - </v>
      </c>
      <c r="E9" s="19">
        <f>SUMIF(gastos_administrativos[DESCRIPCIÓN], reportes[[#This Row],[DESCRIPCIÓN]], gastos_administrativos[MONTO_GASTADO])</f>
        <v>0</v>
      </c>
      <c r="F9" s="19">
        <f>SUMIF(venta_productos[DESCRIPCIÓN], reportes[[#This Row],[DESCRIPCIÓN]], venta_productos[TOTAL_VENTA])</f>
        <v>0</v>
      </c>
      <c r="G9" s="19">
        <f>SUMIF(movimiento_inversion[DESCRIPCIÓN], reportes[[#This Row],[DESCRIPCIÓN]], movimiento_inversion[MONTO_TOTAL])</f>
        <v>0</v>
      </c>
      <c r="H9" s="19">
        <f>SUMIFS(movimiento_inversion[MONTO_TOTAL], movimiento_inversion[CODIGO],1,movimiento_inversion[DESCRIPCIÓN],reportes[[#This Row],[DESCRIPCIÓN]])</f>
        <v>0</v>
      </c>
      <c r="I9" s="19">
        <f>reportes[[#This Row],[PAGO INVERSIONISTAS]]-reportes[[#This Row],[JOVA_INVERSION]]</f>
        <v>0</v>
      </c>
      <c r="J9" s="5">
        <f>IFERROR(reportes[[#This Row],[CAPITAL INVERSIONISTAS]]-reportes[[#This Row],[COMPRA PRODUCTOS]]-reportes[[#This Row],[GASTOS ADMINISTRATIVOS]]+reportes[[#This Row],[VENTA PRODUCTOS]]-reportes[[#This Row],[PAGO INVERSIONISTAS]]+reportes[[#This Row],[JOVA_INVERSION]],0)</f>
        <v>0</v>
      </c>
      <c r="K9" s="64">
        <f>IFERROR(reportes[[#This Row],[TOTAL]]-reportes[[#This Row],[JOVA_INVERSION]],0)</f>
        <v>0</v>
      </c>
    </row>
    <row r="12" spans="2:11" x14ac:dyDescent="0.25">
      <c r="C12" s="31"/>
    </row>
    <row r="21" spans="6:12" x14ac:dyDescent="0.25">
      <c r="F21" s="55"/>
      <c r="G21" s="55"/>
      <c r="H21" s="55"/>
      <c r="I21" s="55"/>
      <c r="J21" s="55"/>
      <c r="K21" s="55"/>
      <c r="L21" s="55"/>
    </row>
  </sheetData>
  <mergeCells count="1">
    <mergeCell ref="F21:L21"/>
  </mergeCells>
  <phoneticPr fontId="1" type="noConversion"/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INVERSIONISTAS</vt:lpstr>
      <vt:lpstr>IMPORTACIONES</vt:lpstr>
      <vt:lpstr>REGISTRO_INVERSIONES</vt:lpstr>
      <vt:lpstr>MOVIMIENTO_INVERSION</vt:lpstr>
      <vt:lpstr>PRODUCTOS</vt:lpstr>
      <vt:lpstr>VENTA_PRODUCTOS</vt:lpstr>
      <vt:lpstr>GASTOS_ADMINISTRATIVOS</vt:lpstr>
      <vt:lpstr>CLIENTES</vt:lpstr>
      <vt:lpstr>REPORTES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2020-12-04T08:30:06Z</dcterms:modified>
</cp:coreProperties>
</file>