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120" yWindow="-120" windowWidth="38640" windowHeight="15840" activeTab="2"/>
  </bookViews>
  <sheets>
    <sheet name="INVERSIONISTAS" sheetId="1" r:id="rId1"/>
    <sheet name="IMPORTACIONES" sheetId="2" r:id="rId2"/>
    <sheet name="REGISTRO_INVERSIONES" sheetId="5" r:id="rId3"/>
    <sheet name="MOVIMIENTO_INVERSION" sheetId="3" r:id="rId4"/>
    <sheet name="PRODUCTOS" sheetId="4" r:id="rId5"/>
  </sheets>
  <externalReferences>
    <externalReference r:id="rId6"/>
  </externalReferenc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5" l="1"/>
  <c r="E21" i="5"/>
  <c r="E18" i="5"/>
  <c r="E15" i="5"/>
</calcChain>
</file>

<file path=xl/sharedStrings.xml><?xml version="1.0" encoding="utf-8"?>
<sst xmlns="http://schemas.openxmlformats.org/spreadsheetml/2006/main" count="80" uniqueCount="49">
  <si>
    <t>CODIGO</t>
  </si>
  <si>
    <t>NOMBRE</t>
  </si>
  <si>
    <t>TELEFONO</t>
  </si>
  <si>
    <t>DESCRIPCIÓN</t>
  </si>
  <si>
    <t>APELLIDO PATERNO</t>
  </si>
  <si>
    <t>MONTO INVERTIDO</t>
  </si>
  <si>
    <t>GANANCIA</t>
  </si>
  <si>
    <t>MONTO_TOTAL</t>
  </si>
  <si>
    <t>ESTADO</t>
  </si>
  <si>
    <t>CANCELADO</t>
  </si>
  <si>
    <t>PENDIENTE DE PAGO</t>
  </si>
  <si>
    <t>FECHA DE REGISTRO</t>
  </si>
  <si>
    <t>CORREO</t>
  </si>
  <si>
    <t>NOMBRES</t>
  </si>
  <si>
    <t>APELLIDO MATERNO</t>
  </si>
  <si>
    <t>MONTO TOTAL</t>
  </si>
  <si>
    <t>FECHA DE PAGO</t>
  </si>
  <si>
    <t>OBSERVACION</t>
  </si>
  <si>
    <t>MONTO INVERTIDO + MONTO INVERTIDO* GANANCIA</t>
  </si>
  <si>
    <t>EN %</t>
  </si>
  <si>
    <t>IMPORTACIÓN</t>
  </si>
  <si>
    <t>1RA -2DA -3RA -ETC</t>
  </si>
  <si>
    <t>PRECIO COMPRA</t>
  </si>
  <si>
    <t>PRECIO VENTA</t>
  </si>
  <si>
    <t>STOCK ACTUAL</t>
  </si>
  <si>
    <t>ENTRADAS</t>
  </si>
  <si>
    <t>SALIDAS</t>
  </si>
  <si>
    <t>EXPORTACIÓN</t>
  </si>
  <si>
    <t>GANANCIA DEL INVERSIONISTA</t>
  </si>
  <si>
    <t>OBSERVACIÓN</t>
  </si>
  <si>
    <t>FECHA_REGISTRO</t>
  </si>
  <si>
    <t>FECHA_PAGO</t>
  </si>
  <si>
    <t>CHRISTIAN</t>
  </si>
  <si>
    <t>PIZARRO</t>
  </si>
  <si>
    <t>BARBARAN</t>
  </si>
  <si>
    <t>1RA EXPORTACION</t>
  </si>
  <si>
    <t>DIRECCIÓN</t>
  </si>
  <si>
    <t>Ronald William</t>
  </si>
  <si>
    <t>Acosta</t>
  </si>
  <si>
    <t>Alva</t>
  </si>
  <si>
    <t>Jr. las rimarimas 919. Coop las flores</t>
  </si>
  <si>
    <t>ronald.acostaalva@gmail.com</t>
  </si>
  <si>
    <t>FECHA RECEPCIÓN</t>
  </si>
  <si>
    <t>FECHA EMISIÓN</t>
  </si>
  <si>
    <t>txtfech_rec.Value=</t>
  </si>
  <si>
    <t xml:space="preserve">IF txtfech_emi.Value = Empty </t>
  </si>
  <si>
    <t>1</t>
  </si>
  <si>
    <t>PRIMERA IMPORTACION</t>
  </si>
  <si>
    <t>15/10/2020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</si>
</sst>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7" xfId="0" applyFill="1" applyBorder="1"/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5" xfId="0" applyFill="1" applyBorder="1"/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left" vertical="center"/>
    </xf>
    <xf numFmtId="0" fontId="0" fillId="0" borderId="12" xfId="0" applyFill="1" applyBorder="1"/>
    <xf numFmtId="0" fontId="0" fillId="0" borderId="0" xfId="0" applyAlignment="1">
      <alignment horizontal="center"/>
    </xf>
    <xf numFmtId="0" fontId="0" fillId="0" borderId="5" xfId="0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9" fontId="0" fillId="0" borderId="2" xfId="1" applyFont="1" applyBorder="1" applyAlignment="1">
      <alignment horizontal="center" vertical="center"/>
    </xf>
    <xf numFmtId="9" fontId="0" fillId="0" borderId="4" xfId="1" applyFont="1" applyBorder="1" applyAlignment="1">
      <alignment horizontal="center" vertical="center"/>
    </xf>
    <xf numFmtId="9" fontId="0" fillId="0" borderId="3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Normal" xfId="0" builtinId="0"/>
    <cellStyle name="Porcentaje" xfId="1" builtinId="5"/>
  </cellStyles>
  <dxfs count="23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58393</xdr:colOff>
      <xdr:row>7</xdr:row>
      <xdr:rowOff>16564</xdr:rowOff>
    </xdr:from>
    <xdr:to>
      <xdr:col>2</xdr:col>
      <xdr:colOff>150330</xdr:colOff>
      <xdr:row>9</xdr:row>
      <xdr:rowOff>41413</xdr:rowOff>
    </xdr:to>
    <xdr:sp macro="[0]!INGRESAR_INVERSIONISTAS" textlink="">
      <xdr:nvSpPr>
        <xdr:cNvPr id="3" name="Rectángulo redondeado 4">
          <a:extLst>
            <a:ext uri="{FF2B5EF4-FFF2-40B4-BE49-F238E27FC236}">
              <a16:creationId xmlns="" xmlns:a16="http://schemas.microsoft.com/office/drawing/2014/main" id="{D4D500BD-63CD-4A96-9144-C13D9A252254}"/>
            </a:ext>
          </a:extLst>
        </xdr:cNvPr>
        <xdr:cNvSpPr/>
      </xdr:nvSpPr>
      <xdr:spPr>
        <a:xfrm>
          <a:off x="58393" y="1350064"/>
          <a:ext cx="1972089" cy="405849"/>
        </a:xfrm>
        <a:prstGeom prst="roundRect">
          <a:avLst/>
        </a:prstGeom>
        <a:solidFill>
          <a:schemeClr val="bg1">
            <a:lumMod val="75000"/>
          </a:schemeClr>
        </a:solidFill>
        <a:ln w="3175"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200" b="1">
              <a:solidFill>
                <a:sysClr val="windowText" lastClr="000000"/>
              </a:solidFill>
            </a:rPr>
            <a:t>INGRESAR</a:t>
          </a:r>
          <a:r>
            <a:rPr lang="es-US" sz="1200" b="1" baseline="0">
              <a:solidFill>
                <a:sysClr val="windowText" lastClr="000000"/>
              </a:solidFill>
            </a:rPr>
            <a:t> INVERSIONISTAS</a:t>
          </a:r>
          <a:endParaRPr lang="es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8283</xdr:rowOff>
    </xdr:from>
    <xdr:to>
      <xdr:col>6</xdr:col>
      <xdr:colOff>2066925</xdr:colOff>
      <xdr:row>5</xdr:row>
      <xdr:rowOff>170208</xdr:rowOff>
    </xdr:to>
    <xdr:sp macro="" textlink="">
      <xdr:nvSpPr>
        <xdr:cNvPr id="5" name="Rectángulo 4">
          <a:extLst>
            <a:ext uri="{FF2B5EF4-FFF2-40B4-BE49-F238E27FC236}">
              <a16:creationId xmlns="" xmlns:a16="http://schemas.microsoft.com/office/drawing/2014/main" id="{EF9DFB1E-C38B-4CAC-9DA4-013781CB895B}"/>
            </a:ext>
          </a:extLst>
        </xdr:cNvPr>
        <xdr:cNvSpPr/>
      </xdr:nvSpPr>
      <xdr:spPr>
        <a:xfrm>
          <a:off x="0" y="8283"/>
          <a:ext cx="10191750" cy="111442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DATOS</a:t>
          </a:r>
          <a:r>
            <a:rPr lang="es-PE" sz="2800" b="1" baseline="0">
              <a:latin typeface="Arial" panose="020B0604020202020204" pitchFamily="34" charset="0"/>
              <a:cs typeface="Arial" panose="020B0604020202020204" pitchFamily="34" charset="0"/>
            </a:rPr>
            <a:t> DE LOS INVERSIONISTAS</a:t>
          </a:r>
          <a:endParaRPr lang="es-PE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13</xdr:col>
      <xdr:colOff>485775</xdr:colOff>
      <xdr:row>5</xdr:row>
      <xdr:rowOff>180975</xdr:rowOff>
    </xdr:to>
    <xdr:sp macro="" textlink="">
      <xdr:nvSpPr>
        <xdr:cNvPr id="3" name="Rectángulo 2">
          <a:extLst>
            <a:ext uri="{FF2B5EF4-FFF2-40B4-BE49-F238E27FC236}">
              <a16:creationId xmlns="" xmlns:a16="http://schemas.microsoft.com/office/drawing/2014/main" id="{EF9DFB1E-C38B-4CAC-9DA4-013781CB895B}"/>
            </a:ext>
          </a:extLst>
        </xdr:cNvPr>
        <xdr:cNvSpPr/>
      </xdr:nvSpPr>
      <xdr:spPr>
        <a:xfrm>
          <a:off x="0" y="19050"/>
          <a:ext cx="10191750" cy="111442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DATOS</a:t>
          </a:r>
          <a:r>
            <a:rPr lang="es-PE" sz="2800" b="1" baseline="0">
              <a:latin typeface="Arial" panose="020B0604020202020204" pitchFamily="34" charset="0"/>
              <a:cs typeface="Arial" panose="020B0604020202020204" pitchFamily="34" charset="0"/>
            </a:rPr>
            <a:t> DE LAS IMPORTACIONES</a:t>
          </a:r>
          <a:endParaRPr lang="es-PE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238125</xdr:colOff>
      <xdr:row>7</xdr:row>
      <xdr:rowOff>19050</xdr:rowOff>
    </xdr:from>
    <xdr:to>
      <xdr:col>2</xdr:col>
      <xdr:colOff>161925</xdr:colOff>
      <xdr:row>9</xdr:row>
      <xdr:rowOff>1</xdr:rowOff>
    </xdr:to>
    <xdr:sp macro="[0]!INGRESAR_IMPORTACIONES" textlink="">
      <xdr:nvSpPr>
        <xdr:cNvPr id="4" name="Rectángulo redondeado 3"/>
        <xdr:cNvSpPr/>
      </xdr:nvSpPr>
      <xdr:spPr>
        <a:xfrm>
          <a:off x="238125" y="1352550"/>
          <a:ext cx="2009775" cy="361951"/>
        </a:xfrm>
        <a:prstGeom prst="round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INGRESAR IMPORTACIONES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15</xdr:col>
      <xdr:colOff>1</xdr:colOff>
      <xdr:row>5</xdr:row>
      <xdr:rowOff>180975</xdr:rowOff>
    </xdr:to>
    <xdr:sp macro="" textlink="">
      <xdr:nvSpPr>
        <xdr:cNvPr id="2" name="Rectángulo 1">
          <a:extLst>
            <a:ext uri="{FF2B5EF4-FFF2-40B4-BE49-F238E27FC236}">
              <a16:creationId xmlns="" xmlns:a16="http://schemas.microsoft.com/office/drawing/2014/main" id="{DB05D796-36E1-4A0B-9930-CD129D918095}"/>
            </a:ext>
          </a:extLst>
        </xdr:cNvPr>
        <xdr:cNvSpPr/>
      </xdr:nvSpPr>
      <xdr:spPr>
        <a:xfrm>
          <a:off x="9525" y="19050"/>
          <a:ext cx="11420476" cy="1114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REGISTRO</a:t>
          </a:r>
          <a:r>
            <a:rPr lang="es-PE" sz="2800" b="1" baseline="0">
              <a:latin typeface="Arial" panose="020B0604020202020204" pitchFamily="34" charset="0"/>
              <a:cs typeface="Arial" panose="020B0604020202020204" pitchFamily="34" charset="0"/>
            </a:rPr>
            <a:t> DE MOVIMIENTO DE INVERSIONES</a:t>
          </a:r>
          <a:endParaRPr lang="es-PE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733425</xdr:colOff>
      <xdr:row>26</xdr:row>
      <xdr:rowOff>95250</xdr:rowOff>
    </xdr:from>
    <xdr:to>
      <xdr:col>6</xdr:col>
      <xdr:colOff>342900</xdr:colOff>
      <xdr:row>29</xdr:row>
      <xdr:rowOff>38100</xdr:rowOff>
    </xdr:to>
    <xdr:sp macro="[0]!GRABAR_MOV_INVERSIONES" textlink="">
      <xdr:nvSpPr>
        <xdr:cNvPr id="3" name="Rectángulo: esquinas redondeadas 2">
          <a:extLst>
            <a:ext uri="{FF2B5EF4-FFF2-40B4-BE49-F238E27FC236}">
              <a16:creationId xmlns="" xmlns:a16="http://schemas.microsoft.com/office/drawing/2014/main" id="{B36E413F-1AD7-48BC-A21C-DF8F2856E8AE}"/>
            </a:ext>
          </a:extLst>
        </xdr:cNvPr>
        <xdr:cNvSpPr/>
      </xdr:nvSpPr>
      <xdr:spPr>
        <a:xfrm>
          <a:off x="3019425" y="5162550"/>
          <a:ext cx="189547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GRABAR</a:t>
          </a:r>
        </a:p>
      </xdr:txBody>
    </xdr:sp>
    <xdr:clientData/>
  </xdr:twoCellAnchor>
  <xdr:twoCellAnchor>
    <xdr:from>
      <xdr:col>7</xdr:col>
      <xdr:colOff>476250</xdr:colOff>
      <xdr:row>26</xdr:row>
      <xdr:rowOff>104775</xdr:rowOff>
    </xdr:from>
    <xdr:to>
      <xdr:col>10</xdr:col>
      <xdr:colOff>85725</xdr:colOff>
      <xdr:row>29</xdr:row>
      <xdr:rowOff>47625</xdr:rowOff>
    </xdr:to>
    <xdr:sp macro="" textlink="">
      <xdr:nvSpPr>
        <xdr:cNvPr id="5" name="Rectángulo: esquinas redondeadas 4">
          <a:extLst>
            <a:ext uri="{FF2B5EF4-FFF2-40B4-BE49-F238E27FC236}">
              <a16:creationId xmlns="" xmlns:a16="http://schemas.microsoft.com/office/drawing/2014/main" id="{A892F30F-12BE-4924-A3FC-F12242D3CDEC}"/>
            </a:ext>
          </a:extLst>
        </xdr:cNvPr>
        <xdr:cNvSpPr/>
      </xdr:nvSpPr>
      <xdr:spPr>
        <a:xfrm>
          <a:off x="5810250" y="5172075"/>
          <a:ext cx="189547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1247775</xdr:colOff>
      <xdr:row>21</xdr:row>
      <xdr:rowOff>47625</xdr:rowOff>
    </xdr:from>
    <xdr:to>
      <xdr:col>16</xdr:col>
      <xdr:colOff>323850</xdr:colOff>
      <xdr:row>22</xdr:row>
      <xdr:rowOff>180975</xdr:rowOff>
    </xdr:to>
    <xdr:sp macro="" textlink="">
      <xdr:nvSpPr>
        <xdr:cNvPr id="5" name="Rectángulo redondeado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4657725" y="809625"/>
          <a:ext cx="1857375" cy="323850"/>
        </a:xfrm>
        <a:prstGeom prst="roundRect">
          <a:avLst/>
        </a:prstGeom>
        <a:solidFill>
          <a:srgbClr val="FFFF00"/>
        </a:solidFill>
        <a:ln w="3175"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US" sz="1100" b="1">
              <a:solidFill>
                <a:sysClr val="windowText" lastClr="000000"/>
              </a:solidFill>
            </a:rPr>
            <a:t>FECHA ACTUAL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onald\Downloads\Control%20de%20Stock%20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ú"/>
      <sheetName val="Productos"/>
      <sheetName val="Comprobante"/>
      <sheetName val="Movimientos"/>
      <sheetName val="Ventas"/>
      <sheetName val="Compras"/>
      <sheetName val="Reporte Ventas"/>
      <sheetName val="Reporte Compras"/>
      <sheetName val="Calcularora ML"/>
      <sheetName val="Inversion"/>
      <sheetName val="Control de Stock 1.3"/>
    </sheetNames>
    <definedNames>
      <definedName name="BOTON_VOLVER_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id="3" name="Tabla3" displayName="Tabla3" ref="A12:G15" totalsRowShown="0" headerRowDxfId="22" dataDxfId="20" headerRowBorderDxfId="21" tableBorderDxfId="19" totalsRowBorderDxfId="18">
  <autoFilter ref="A12:G15"/>
  <tableColumns count="7">
    <tableColumn id="1" name="CODIGO" dataDxfId="17"/>
    <tableColumn id="2" name="NOMBRES" dataDxfId="16"/>
    <tableColumn id="3" name="APELLIDO PATERNO" dataDxfId="15"/>
    <tableColumn id="4" name="APELLIDO MATERNO" dataDxfId="14"/>
    <tableColumn id="7" name="DIRECCIÓN" dataDxfId="13"/>
    <tableColumn id="5" name="TELEFONO" dataDxfId="12"/>
    <tableColumn id="6" name="CORREO" dataDxfId="11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12:F14" totalsRowShown="0" headerRowDxfId="10" dataDxfId="9">
  <autoFilter ref="A12:F14"/>
  <tableColumns count="6">
    <tableColumn id="1" name="CODIGO" dataDxfId="8"/>
    <tableColumn id="2" name="DESCRIPCIÓN" dataDxfId="7"/>
    <tableColumn id="3" name="FECHA EMISIÓN"/>
    <tableColumn id="4" name="FECHA RECEPCIÓN"/>
    <tableColumn id="5" name="MONTO INVERTIDO" dataDxfId="6"/>
    <tableColumn id="6" name="ESTADO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A4:L7" totalsRowShown="0" headerRowDxfId="4">
  <autoFilter ref="A4:L7"/>
  <tableColumns count="12">
    <tableColumn id="1" name="FECHA_REGISTRO"/>
    <tableColumn id="2" name="CODIGO"/>
    <tableColumn id="3" name="NOMBRE" dataDxfId="3"/>
    <tableColumn id="4" name="APELLIDO PATERNO" dataDxfId="2"/>
    <tableColumn id="5" name="APELLIDO MATERNO" dataDxfId="1"/>
    <tableColumn id="6" name="EXPORTACIÓN" dataDxfId="0"/>
    <tableColumn id="7" name="MONTO INVERTIDO"/>
    <tableColumn id="8" name="GANANCIA"/>
    <tableColumn id="9" name="MONTO TOTAL"/>
    <tableColumn id="10" name="OBSERVACIÓN"/>
    <tableColumn id="11" name="FECHA_PAGO"/>
    <tableColumn id="12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2:G15"/>
  <sheetViews>
    <sheetView showGridLines="0" zoomScaleNormal="100" workbookViewId="0">
      <selection activeCell="C9" sqref="C9"/>
    </sheetView>
  </sheetViews>
  <sheetFormatPr baseColWidth="10" defaultColWidth="9.140625" defaultRowHeight="15" x14ac:dyDescent="0.25"/>
  <cols>
    <col min="1" max="1" width="10.140625" customWidth="1"/>
    <col min="2" max="2" width="18" customWidth="1"/>
    <col min="3" max="3" width="23" customWidth="1"/>
    <col min="4" max="4" width="21.5703125" customWidth="1"/>
    <col min="5" max="5" width="35.5703125" customWidth="1"/>
    <col min="6" max="6" width="13.5703125" customWidth="1"/>
    <col min="7" max="7" width="31.140625" customWidth="1"/>
  </cols>
  <sheetData>
    <row r="12" spans="1:7" x14ac:dyDescent="0.25">
      <c r="A12" s="7" t="s">
        <v>0</v>
      </c>
      <c r="B12" s="8" t="s">
        <v>13</v>
      </c>
      <c r="C12" s="8" t="s">
        <v>4</v>
      </c>
      <c r="D12" s="8" t="s">
        <v>14</v>
      </c>
      <c r="E12" s="8" t="s">
        <v>36</v>
      </c>
      <c r="F12" s="8" t="s">
        <v>2</v>
      </c>
      <c r="G12" s="9" t="s">
        <v>12</v>
      </c>
    </row>
    <row r="13" spans="1:7" x14ac:dyDescent="0.25">
      <c r="A13" s="10">
        <v>2</v>
      </c>
      <c r="B13" s="11" t="s">
        <v>37</v>
      </c>
      <c r="C13" s="11" t="s">
        <v>38</v>
      </c>
      <c r="D13" s="11" t="s">
        <v>39</v>
      </c>
      <c r="E13" s="11" t="s">
        <v>40</v>
      </c>
      <c r="F13" s="11">
        <v>997764286</v>
      </c>
      <c r="G13" s="17" t="s">
        <v>41</v>
      </c>
    </row>
    <row r="14" spans="1:7" x14ac:dyDescent="0.25">
      <c r="A14" s="10">
        <v>1</v>
      </c>
      <c r="B14" s="11" t="s">
        <v>32</v>
      </c>
      <c r="C14" s="11" t="s">
        <v>33</v>
      </c>
      <c r="D14" s="11" t="s">
        <v>34</v>
      </c>
      <c r="E14" s="11"/>
      <c r="F14" s="11"/>
      <c r="G14" s="12"/>
    </row>
    <row r="15" spans="1:7" x14ac:dyDescent="0.25">
      <c r="A15" s="13"/>
      <c r="B15" s="14"/>
      <c r="C15" s="14"/>
      <c r="D15" s="14"/>
      <c r="E15" s="14"/>
      <c r="F15" s="14"/>
      <c r="G15" s="15"/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9:I18"/>
  <sheetViews>
    <sheetView workbookViewId="0">
      <selection activeCell="D14" sqref="D14"/>
    </sheetView>
  </sheetViews>
  <sheetFormatPr baseColWidth="10" defaultRowHeight="15" x14ac:dyDescent="0.25"/>
  <cols>
    <col min="2" max="2" width="19.85546875" bestFit="1" customWidth="1"/>
    <col min="3" max="3" width="17.140625" customWidth="1"/>
    <col min="4" max="5" width="20.42578125" customWidth="1"/>
    <col min="6" max="6" width="17.28515625" customWidth="1"/>
    <col min="9" max="9" width="29" customWidth="1"/>
  </cols>
  <sheetData>
    <row r="9" spans="1:9" x14ac:dyDescent="0.25">
      <c r="I9" t="s">
        <v>8</v>
      </c>
    </row>
    <row r="10" spans="1:9" x14ac:dyDescent="0.25">
      <c r="I10" t="s">
        <v>45</v>
      </c>
    </row>
    <row r="11" spans="1:9" x14ac:dyDescent="0.25">
      <c r="I11" t="s">
        <v>44</v>
      </c>
    </row>
    <row r="12" spans="1:9" x14ac:dyDescent="0.25">
      <c r="A12" s="1" t="s">
        <v>0</v>
      </c>
      <c r="B12" s="1" t="s">
        <v>3</v>
      </c>
      <c r="C12" s="1" t="s">
        <v>43</v>
      </c>
      <c r="D12" s="1" t="s">
        <v>42</v>
      </c>
      <c r="E12" s="16" t="s">
        <v>5</v>
      </c>
      <c r="F12" s="1" t="s">
        <v>8</v>
      </c>
    </row>
    <row r="13" spans="1:9" x14ac:dyDescent="0.25">
      <c r="A13" s="2" t="s">
        <v>46</v>
      </c>
      <c r="B13" s="3" t="s">
        <v>47</v>
      </c>
      <c r="C13" s="5" t="s">
        <v>48</v>
      </c>
      <c r="D13" s="5"/>
      <c r="E13" s="3"/>
      <c r="F13" s="3"/>
    </row>
    <row r="14" spans="1:9" x14ac:dyDescent="0.25">
      <c r="A14" s="2"/>
      <c r="B14" s="3"/>
      <c r="C14" s="3"/>
      <c r="D14" s="3"/>
      <c r="E14" s="3"/>
      <c r="F14" s="3"/>
    </row>
    <row r="15" spans="1:9" x14ac:dyDescent="0.25">
      <c r="A15" s="2"/>
      <c r="B15" s="3"/>
      <c r="C15" s="3"/>
      <c r="D15" s="3"/>
      <c r="E15" s="3"/>
      <c r="F15" s="3"/>
    </row>
    <row r="16" spans="1:9" x14ac:dyDescent="0.25">
      <c r="A16" s="2"/>
      <c r="B16" s="3"/>
      <c r="C16" s="3"/>
      <c r="D16" s="3"/>
      <c r="E16" s="3"/>
      <c r="F16" s="3"/>
    </row>
    <row r="17" spans="1:6" x14ac:dyDescent="0.25">
      <c r="A17" s="2"/>
      <c r="B17" s="3"/>
      <c r="C17" s="3"/>
      <c r="D17" s="3"/>
      <c r="E17" s="3"/>
      <c r="F17" s="3"/>
    </row>
    <row r="18" spans="1:6" x14ac:dyDescent="0.25">
      <c r="A18" s="2"/>
      <c r="B18" s="3"/>
      <c r="C18" s="3"/>
      <c r="D18" s="3"/>
      <c r="E18" s="3"/>
      <c r="F18" s="3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8:M39"/>
  <sheetViews>
    <sheetView showGridLines="0" tabSelected="1" zoomScale="85" zoomScaleNormal="85" workbookViewId="0">
      <selection activeCell="P11" sqref="P11"/>
    </sheetView>
  </sheetViews>
  <sheetFormatPr baseColWidth="10" defaultRowHeight="15" x14ac:dyDescent="0.25"/>
  <sheetData>
    <row r="8" spans="3:13" ht="15.75" thickBot="1" x14ac:dyDescent="0.3"/>
    <row r="9" spans="3:13" ht="15.75" thickBot="1" x14ac:dyDescent="0.3">
      <c r="C9" t="s">
        <v>11</v>
      </c>
      <c r="E9" s="27">
        <v>44115</v>
      </c>
      <c r="F9" s="29"/>
      <c r="H9" t="s">
        <v>5</v>
      </c>
      <c r="K9" s="18"/>
      <c r="L9" s="19"/>
      <c r="M9" s="20"/>
    </row>
    <row r="11" spans="3:13" ht="15.75" thickBot="1" x14ac:dyDescent="0.3"/>
    <row r="12" spans="3:13" ht="15.75" thickBot="1" x14ac:dyDescent="0.3">
      <c r="C12" t="s">
        <v>0</v>
      </c>
      <c r="E12" s="32">
        <v>1</v>
      </c>
      <c r="F12" s="33"/>
      <c r="H12" t="s">
        <v>28</v>
      </c>
      <c r="K12" s="21"/>
      <c r="L12" s="22"/>
      <c r="M12" s="23"/>
    </row>
    <row r="14" spans="3:13" ht="15.75" thickBot="1" x14ac:dyDescent="0.3"/>
    <row r="15" spans="3:13" ht="15.75" thickBot="1" x14ac:dyDescent="0.3">
      <c r="C15" t="s">
        <v>1</v>
      </c>
      <c r="E15" s="32" t="str">
        <f>IFERROR(VLOOKUP(E12,INVERSIONISTAS!A12:G5008,2,FALSE),"")</f>
        <v>CHRISTIAN</v>
      </c>
      <c r="F15" s="33"/>
      <c r="H15" t="s">
        <v>15</v>
      </c>
      <c r="K15" s="18">
        <f>IFERROR(K9+(K12*K9)," ")</f>
        <v>0</v>
      </c>
      <c r="L15" s="19"/>
      <c r="M15" s="20"/>
    </row>
    <row r="17" spans="3:13" ht="15.75" thickBot="1" x14ac:dyDescent="0.3"/>
    <row r="18" spans="3:13" ht="15.75" thickBot="1" x14ac:dyDescent="0.3">
      <c r="C18" t="s">
        <v>4</v>
      </c>
      <c r="E18" s="32" t="str">
        <f>IFERROR(VLOOKUP(E12,INVERSIONISTAS!A12:G5008,3,FALSE),"")</f>
        <v>PIZARRO</v>
      </c>
      <c r="F18" s="33"/>
      <c r="H18" t="s">
        <v>29</v>
      </c>
      <c r="K18" s="24"/>
      <c r="L18" s="25"/>
      <c r="M18" s="26"/>
    </row>
    <row r="20" spans="3:13" ht="15.75" thickBot="1" x14ac:dyDescent="0.3"/>
    <row r="21" spans="3:13" ht="15.75" thickBot="1" x14ac:dyDescent="0.3">
      <c r="C21" t="s">
        <v>14</v>
      </c>
      <c r="E21" s="32" t="str">
        <f>IFERROR(VLOOKUP(E12,INVERSIONISTAS!A12:G5008,4,FALSE),"")</f>
        <v>BARBARAN</v>
      </c>
      <c r="F21" s="33"/>
      <c r="H21" t="s">
        <v>16</v>
      </c>
      <c r="K21" s="27"/>
      <c r="L21" s="28"/>
      <c r="M21" s="29"/>
    </row>
    <row r="23" spans="3:13" ht="15.75" thickBot="1" x14ac:dyDescent="0.3"/>
    <row r="24" spans="3:13" ht="15.75" thickBot="1" x14ac:dyDescent="0.3">
      <c r="C24" t="s">
        <v>27</v>
      </c>
      <c r="E24" s="32"/>
      <c r="F24" s="33"/>
    </row>
    <row r="29" spans="3:13" x14ac:dyDescent="0.25">
      <c r="D29" s="31"/>
      <c r="E29" s="31"/>
    </row>
    <row r="30" spans="3:13" x14ac:dyDescent="0.25">
      <c r="D30" s="31"/>
      <c r="E30" s="31"/>
    </row>
    <row r="31" spans="3:13" x14ac:dyDescent="0.25">
      <c r="D31" s="31"/>
      <c r="E31" s="31"/>
    </row>
    <row r="32" spans="3:13" x14ac:dyDescent="0.25">
      <c r="D32" s="31"/>
      <c r="E32" s="31"/>
    </row>
    <row r="33" spans="4:5" x14ac:dyDescent="0.25">
      <c r="D33" s="31"/>
      <c r="E33" s="31"/>
    </row>
    <row r="34" spans="4:5" x14ac:dyDescent="0.25">
      <c r="D34" s="31"/>
      <c r="E34" s="31"/>
    </row>
    <row r="35" spans="4:5" x14ac:dyDescent="0.25">
      <c r="D35" s="30"/>
      <c r="E35" s="30"/>
    </row>
    <row r="38" spans="4:5" x14ac:dyDescent="0.25">
      <c r="D38" s="31"/>
      <c r="E38" s="31"/>
    </row>
    <row r="39" spans="4:5" x14ac:dyDescent="0.25">
      <c r="D39" s="30"/>
      <c r="E39" s="30"/>
    </row>
  </sheetData>
  <mergeCells count="20">
    <mergeCell ref="D35:E35"/>
    <mergeCell ref="D38:E38"/>
    <mergeCell ref="D39:E39"/>
    <mergeCell ref="E9:F9"/>
    <mergeCell ref="E12:F12"/>
    <mergeCell ref="E15:F15"/>
    <mergeCell ref="E18:F18"/>
    <mergeCell ref="E21:F21"/>
    <mergeCell ref="E24:F24"/>
    <mergeCell ref="D29:E29"/>
    <mergeCell ref="D30:E30"/>
    <mergeCell ref="D31:E31"/>
    <mergeCell ref="D32:E32"/>
    <mergeCell ref="D33:E33"/>
    <mergeCell ref="D34:E34"/>
    <mergeCell ref="K9:M9"/>
    <mergeCell ref="K12:M12"/>
    <mergeCell ref="K15:M15"/>
    <mergeCell ref="K18:M18"/>
    <mergeCell ref="K21:M21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IMPORTACIONES!$B$13:$B$21</xm:f>
          </x14:formula1>
          <xm:sqref>E24:F24</xm:sqref>
        </x14:dataValidation>
        <x14:dataValidation type="list" allowBlank="1" showInputMessage="1" showErrorMessage="1">
          <x14:formula1>
            <xm:f>INVERSIONISTAS!$A$14:$A$5008</xm:f>
          </x14:formula1>
          <xm:sqref>E12:F12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4:W32"/>
  <sheetViews>
    <sheetView topLeftCell="E1" workbookViewId="0">
      <selection activeCell="I9" sqref="I9"/>
    </sheetView>
  </sheetViews>
  <sheetFormatPr baseColWidth="10" defaultRowHeight="15" x14ac:dyDescent="0.25"/>
  <cols>
    <col min="1" max="1" width="18.5703125" customWidth="1"/>
    <col min="2" max="2" width="10.42578125" customWidth="1"/>
    <col min="3" max="3" width="14.5703125" customWidth="1"/>
    <col min="4" max="4" width="20.42578125" customWidth="1"/>
    <col min="5" max="6" width="21.28515625" customWidth="1"/>
    <col min="7" max="7" width="20.42578125" customWidth="1"/>
    <col min="8" max="8" width="22.140625" customWidth="1"/>
    <col min="9" max="9" width="17.42578125" customWidth="1"/>
    <col min="10" max="10" width="26" customWidth="1"/>
    <col min="11" max="11" width="22.140625" customWidth="1"/>
    <col min="12" max="12" width="13.28515625" customWidth="1"/>
    <col min="15" max="15" width="20.7109375" customWidth="1"/>
  </cols>
  <sheetData>
    <row r="4" spans="1:12" x14ac:dyDescent="0.25">
      <c r="A4" t="s">
        <v>30</v>
      </c>
      <c r="B4" t="s">
        <v>0</v>
      </c>
      <c r="C4" s="1" t="s">
        <v>1</v>
      </c>
      <c r="D4" s="1" t="s">
        <v>4</v>
      </c>
      <c r="E4" s="1" t="s">
        <v>14</v>
      </c>
      <c r="F4" s="4" t="s">
        <v>27</v>
      </c>
      <c r="G4" s="1" t="s">
        <v>5</v>
      </c>
      <c r="H4" s="1" t="s">
        <v>6</v>
      </c>
      <c r="I4" s="1" t="s">
        <v>15</v>
      </c>
      <c r="J4" s="1" t="s">
        <v>29</v>
      </c>
      <c r="K4" s="4" t="s">
        <v>31</v>
      </c>
      <c r="L4" s="4" t="s">
        <v>8</v>
      </c>
    </row>
    <row r="5" spans="1:12" x14ac:dyDescent="0.25">
      <c r="A5">
        <v>44115</v>
      </c>
      <c r="B5">
        <v>1</v>
      </c>
      <c r="C5" s="3" t="s">
        <v>32</v>
      </c>
      <c r="D5" s="3" t="s">
        <v>33</v>
      </c>
      <c r="E5" s="3" t="s">
        <v>34</v>
      </c>
      <c r="F5" s="3" t="s">
        <v>35</v>
      </c>
      <c r="G5" s="4">
        <v>10000</v>
      </c>
      <c r="H5" s="4"/>
      <c r="I5" s="4"/>
      <c r="J5" s="4"/>
      <c r="K5" s="4"/>
      <c r="L5" s="4"/>
    </row>
    <row r="6" spans="1:12" x14ac:dyDescent="0.25">
      <c r="A6" s="6">
        <v>44115</v>
      </c>
      <c r="B6">
        <v>1</v>
      </c>
      <c r="C6" s="3" t="s">
        <v>32</v>
      </c>
      <c r="D6" s="3" t="s">
        <v>33</v>
      </c>
      <c r="E6" s="3"/>
      <c r="F6" s="3"/>
      <c r="G6" s="4"/>
      <c r="H6" s="4"/>
      <c r="I6" s="4"/>
      <c r="J6" s="4"/>
      <c r="K6" s="4"/>
      <c r="L6" s="4"/>
    </row>
    <row r="7" spans="1:12" x14ac:dyDescent="0.25">
      <c r="C7" s="3"/>
      <c r="D7" s="3"/>
      <c r="E7" s="3"/>
      <c r="F7" s="3"/>
      <c r="G7" s="4"/>
      <c r="H7" s="4"/>
      <c r="I7" s="4"/>
      <c r="J7" s="4"/>
      <c r="K7" s="4"/>
      <c r="L7" s="4"/>
    </row>
    <row r="8" spans="1:12" x14ac:dyDescent="0.25">
      <c r="C8" s="3"/>
      <c r="D8" s="3"/>
      <c r="E8" s="3"/>
      <c r="F8" s="3"/>
      <c r="G8" s="3"/>
    </row>
    <row r="9" spans="1:12" x14ac:dyDescent="0.25">
      <c r="C9" s="3"/>
      <c r="D9" s="3"/>
      <c r="E9" s="3"/>
      <c r="F9" s="3"/>
      <c r="G9" s="3"/>
    </row>
    <row r="10" spans="1:12" x14ac:dyDescent="0.25">
      <c r="C10" s="2"/>
      <c r="D10" s="3"/>
      <c r="E10" s="3"/>
      <c r="F10" s="3"/>
      <c r="G10" s="3"/>
      <c r="H10" s="3"/>
    </row>
    <row r="11" spans="1:12" x14ac:dyDescent="0.25">
      <c r="C11" s="2"/>
      <c r="D11" s="3"/>
      <c r="H11" s="3"/>
    </row>
    <row r="12" spans="1:12" x14ac:dyDescent="0.25">
      <c r="C12" s="2"/>
      <c r="D12" s="3"/>
      <c r="H12" s="3"/>
    </row>
    <row r="22" spans="12:23" x14ac:dyDescent="0.25">
      <c r="L22" s="31" t="s">
        <v>11</v>
      </c>
      <c r="M22" s="31"/>
    </row>
    <row r="23" spans="12:23" x14ac:dyDescent="0.25">
      <c r="L23" s="31" t="s">
        <v>1</v>
      </c>
      <c r="M23" s="31"/>
      <c r="W23" t="s">
        <v>8</v>
      </c>
    </row>
    <row r="24" spans="12:23" x14ac:dyDescent="0.25">
      <c r="L24" s="31" t="s">
        <v>4</v>
      </c>
      <c r="M24" s="31"/>
      <c r="W24" t="s">
        <v>9</v>
      </c>
    </row>
    <row r="25" spans="12:23" x14ac:dyDescent="0.25">
      <c r="L25" s="31" t="s">
        <v>14</v>
      </c>
      <c r="M25" s="31"/>
      <c r="W25" t="s">
        <v>10</v>
      </c>
    </row>
    <row r="26" spans="12:23" x14ac:dyDescent="0.25">
      <c r="L26" s="31" t="s">
        <v>5</v>
      </c>
      <c r="M26" s="31"/>
    </row>
    <row r="27" spans="12:23" x14ac:dyDescent="0.25">
      <c r="L27" s="31" t="s">
        <v>6</v>
      </c>
      <c r="M27" s="31"/>
      <c r="O27" t="s">
        <v>19</v>
      </c>
    </row>
    <row r="28" spans="12:23" x14ac:dyDescent="0.25">
      <c r="L28" s="30" t="s">
        <v>7</v>
      </c>
      <c r="M28" s="30"/>
      <c r="O28" t="s">
        <v>18</v>
      </c>
    </row>
    <row r="29" spans="12:23" x14ac:dyDescent="0.25">
      <c r="L29" t="s">
        <v>20</v>
      </c>
      <c r="O29" t="s">
        <v>21</v>
      </c>
    </row>
    <row r="31" spans="12:23" x14ac:dyDescent="0.25">
      <c r="L31" s="31" t="s">
        <v>17</v>
      </c>
      <c r="M31" s="31"/>
    </row>
    <row r="32" spans="12:23" x14ac:dyDescent="0.25">
      <c r="L32" s="30" t="s">
        <v>16</v>
      </c>
      <c r="M32" s="30"/>
    </row>
  </sheetData>
  <dataConsolidate/>
  <mergeCells count="9">
    <mergeCell ref="L31:M31"/>
    <mergeCell ref="L32:M32"/>
    <mergeCell ref="L22:M22"/>
    <mergeCell ref="L23:M23"/>
    <mergeCell ref="L24:M24"/>
    <mergeCell ref="L26:M26"/>
    <mergeCell ref="L27:M27"/>
    <mergeCell ref="L25:M25"/>
    <mergeCell ref="L28:M28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"/>
  <sheetViews>
    <sheetView workbookViewId="0">
      <selection activeCell="D5" sqref="D5"/>
    </sheetView>
  </sheetViews>
  <sheetFormatPr baseColWidth="10" defaultRowHeight="15" x14ac:dyDescent="0.25"/>
  <cols>
    <col min="2" max="2" width="17.7109375" customWidth="1"/>
    <col min="3" max="3" width="24.5703125" customWidth="1"/>
    <col min="4" max="4" width="22.85546875" customWidth="1"/>
    <col min="5" max="5" width="20.7109375" customWidth="1"/>
    <col min="6" max="6" width="18.140625" customWidth="1"/>
    <col min="7" max="7" width="19.140625" customWidth="1"/>
  </cols>
  <sheetData>
    <row r="1" spans="1:8" x14ac:dyDescent="0.25">
      <c r="A1" s="5" t="s">
        <v>0</v>
      </c>
      <c r="B1" s="5" t="s">
        <v>1</v>
      </c>
      <c r="C1" s="5" t="s">
        <v>22</v>
      </c>
      <c r="D1" s="5" t="s">
        <v>23</v>
      </c>
      <c r="E1" s="5" t="s">
        <v>25</v>
      </c>
      <c r="F1" s="5" t="s">
        <v>26</v>
      </c>
      <c r="G1" s="5" t="s">
        <v>24</v>
      </c>
      <c r="H1" s="5" t="s">
        <v>8</v>
      </c>
    </row>
    <row r="2" spans="1:8" x14ac:dyDescent="0.25">
      <c r="E2">
        <v>100</v>
      </c>
      <c r="F2">
        <v>50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INVERSIONISTAS</vt:lpstr>
      <vt:lpstr>IMPORTACIONES</vt:lpstr>
      <vt:lpstr>REGISTRO_INVERSIONES</vt:lpstr>
      <vt:lpstr>MOVIMIENTO_INVERSION</vt:lpstr>
      <vt:lpstr>PRODUCTOS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2020-12-02T21:30:32Z</dcterms:modified>
</cp:coreProperties>
</file>