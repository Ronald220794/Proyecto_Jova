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filterPrivacy="1" codeName="ThisWorkbook" defaultThemeVersion="124226"/>
  <xr:revisionPtr revIDLastSave="0" documentId="13_ncr:1_{DCCA4B7E-32EC-48FB-B3D5-87330E59436E}" xr6:coauthVersionLast="45" xr6:coauthVersionMax="45" xr10:uidLastSave="{00000000-0000-0000-0000-000000000000}"/>
  <bookViews>
    <workbookView xWindow="-120" yWindow="-120" windowWidth="38640" windowHeight="15840" xr2:uid="{00000000-000D-0000-FFFF-FFFF00000000}"/>
  </bookViews>
  <sheets>
    <sheet name="MENÚ" sheetId="11" r:id="rId1"/>
    <sheet name="INVERSIONISTAS" sheetId="1" r:id="rId2"/>
    <sheet name="IMPORTACIONES" sheetId="2" r:id="rId3"/>
    <sheet name="MOVIMIENTO_INVERSION" sheetId="3" r:id="rId4"/>
    <sheet name="PRODUCTOS" sheetId="4" r:id="rId5"/>
    <sheet name="VENTA_PRODUCTOS" sheetId="7" r:id="rId6"/>
    <sheet name="GASTOS_ADMINISTRATIVOS" sheetId="8" r:id="rId7"/>
    <sheet name="CLIENTES" sheetId="9" r:id="rId8"/>
    <sheet name="REPORTES" sheetId="10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3" i="4" l="1"/>
  <c r="J13" i="4" s="1"/>
  <c r="H13" i="4"/>
  <c r="I13" i="4" s="1"/>
  <c r="I13" i="7"/>
  <c r="I14" i="7"/>
  <c r="I15" i="7"/>
  <c r="I16" i="7"/>
  <c r="I17" i="7"/>
  <c r="I18" i="7"/>
  <c r="I19" i="7"/>
  <c r="I20" i="7"/>
  <c r="F15" i="4"/>
  <c r="E13" i="2" l="1"/>
  <c r="E14" i="2"/>
  <c r="I21" i="3" l="1"/>
  <c r="F13" i="10"/>
  <c r="F15" i="10"/>
  <c r="J13" i="7"/>
  <c r="J14" i="7"/>
  <c r="H14" i="4" l="1"/>
  <c r="I14" i="4" s="1"/>
  <c r="H15" i="4"/>
  <c r="D13" i="10"/>
  <c r="D15" i="10"/>
  <c r="H21" i="10"/>
  <c r="H23" i="10" s="1"/>
  <c r="G21" i="10"/>
  <c r="G23" i="10" s="1"/>
  <c r="E20" i="10"/>
  <c r="H22" i="8"/>
  <c r="H23" i="8" s="1"/>
  <c r="E14" i="4"/>
  <c r="E15" i="4"/>
  <c r="E13" i="10"/>
  <c r="E15" i="10"/>
  <c r="I13" i="8"/>
  <c r="I14" i="8"/>
  <c r="I15" i="8"/>
  <c r="I16" i="8"/>
  <c r="I17" i="8"/>
  <c r="I18" i="8"/>
  <c r="I19" i="8"/>
  <c r="E14" i="10" l="1"/>
  <c r="I23" i="8"/>
  <c r="J15" i="7"/>
  <c r="J16" i="7"/>
  <c r="J17" i="7"/>
  <c r="I21" i="7"/>
  <c r="J21" i="7" s="1"/>
  <c r="J18" i="7"/>
  <c r="J19" i="7"/>
  <c r="J20" i="7"/>
  <c r="J14" i="4"/>
  <c r="D14" i="10" s="1"/>
  <c r="I13" i="3"/>
  <c r="I14" i="3"/>
  <c r="I15" i="3"/>
  <c r="I16" i="3"/>
  <c r="H14" i="10" s="1"/>
  <c r="F14" i="10" l="1"/>
  <c r="J24" i="7"/>
  <c r="H15" i="10"/>
  <c r="H13" i="10"/>
  <c r="G15" i="10"/>
  <c r="G13" i="10"/>
  <c r="C13" i="10"/>
  <c r="C15" i="10"/>
  <c r="E15" i="2"/>
  <c r="C14" i="10" s="1"/>
  <c r="E16" i="2"/>
  <c r="J13" i="10" l="1"/>
  <c r="K13" i="10" s="1"/>
  <c r="J15" i="10"/>
  <c r="K15" i="10" s="1"/>
  <c r="I13" i="10"/>
  <c r="I15" i="10"/>
  <c r="I15" i="4" l="1"/>
  <c r="J15" i="4"/>
  <c r="I17" i="3"/>
  <c r="G14" i="10" l="1"/>
  <c r="I14" i="10" l="1"/>
  <c r="J14" i="10"/>
  <c r="K1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E12" authorId="0" shapeId="0" xr:uid="{56CD0DB6-4FB8-4E8D-BB33-E78043B72731}">
      <text>
        <r>
          <rPr>
            <b/>
            <sz val="9"/>
            <color indexed="81"/>
            <rFont val="Tahoma"/>
            <family val="2"/>
          </rPr>
          <t>=SI.ERROR([@[PRECIO_UNITARIO]]*(BUSCARV([@DESCRIPCIÓN];tabla_importaciones;5;FALSO));0)</t>
        </r>
      </text>
    </comment>
    <comment ref="H12" authorId="0" shapeId="0" xr:uid="{565C5C26-AD83-4AFE-90E9-48A72A3EE26E}">
      <text>
        <r>
          <rPr>
            <b/>
            <sz val="9"/>
            <color indexed="81"/>
            <rFont val="Tahoma"/>
            <family val="2"/>
          </rPr>
          <t>FÓRMULA:</t>
        </r>
        <r>
          <rPr>
            <sz val="9"/>
            <color indexed="81"/>
            <rFont val="Tahoma"/>
            <family val="2"/>
          </rPr>
          <t xml:space="preserve">
=SUMAR.SI.CONJUNTO(venta_productos[CANTIDAD];venta_productos[CODIGO];[@CODIGO]; venta_productos[ESTADO];"CANCELADO")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J12" authorId="0" shapeId="0" xr:uid="{633838D7-E328-484E-BA8C-A621ED718AEF}">
      <text>
        <r>
          <rPr>
            <b/>
            <sz val="9"/>
            <color indexed="81"/>
            <rFont val="Tahoma"/>
            <charset val="1"/>
          </rPr>
          <t>SI.ERROR(SI.CONJUNTO([@ESTADO]="ANULADO";0;Y([@ESTADO]="CANCELADO";[@[FORMA_PAGO]]="EFECTIVO");[@[VENTA FINAL]]*[@CANTIDAD];Y([@ESTADO]="CANCELADO";[@[FORMA_PAGO]]="TARJETA");[@[VENTA FINAL]]*[@CANTIDAD]*0.9593);0)
=SI.ERROR(SI.CONJUNTO([@ESTADO]="ANULADO";0;Y([@ESTADO]="CANCELADO";[@[FORMA_PAGO]]="EFECTIVO");[@[VENTA FINAL]]*[@CANTIDAD];Y([@ESTADO]="CANCELADO";[@[FORMA_PAGO]]="DEPOSITO");[@[VENTA FINAL]]*[@CANTIDAD];Y([@ESTADO]="CANCELADO";[@[FORMA_PAGO]]="TARJETA");[@[VENTA FINAL]]*[@CANTIDAD]*0.9593);0)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I12" authorId="0" shapeId="0" xr:uid="{2AB63B25-8A49-428F-A64F-12DAB7F8CED6}">
      <text>
        <r>
          <rPr>
            <b/>
            <sz val="9"/>
            <color indexed="81"/>
            <rFont val="Tahoma"/>
            <charset val="1"/>
          </rPr>
          <t>SI.ERROR(SI.CONJUNTO([@PAGO]="soles";[@[MONTO_GASTADO]];[@PAGO]="dolares";[@[MONTO_GASTADO]]* (BUSCARV([@DESCRIPCIÓN];tabla_importaciones;5;FALSO)));0)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12" authorId="0" shapeId="0" xr:uid="{EF3E3FA7-0735-44AF-8224-231C43A2BDAA}">
      <text>
        <r>
          <rPr>
            <b/>
            <sz val="9"/>
            <color indexed="81"/>
            <rFont val="Tahoma"/>
            <family val="2"/>
          </rPr>
          <t>=SUMAR.SI(venta_productos[DESCRIPCIÓN]; [@DESCRIPCIÓN]; venta_productos[TOTAL_VENTA])</t>
        </r>
      </text>
    </comment>
    <comment ref="H12" authorId="0" shapeId="0" xr:uid="{F28DFA62-3EB6-4FAA-87FF-FB4D8A8FB486}">
      <text>
        <r>
          <rPr>
            <b/>
            <sz val="9"/>
            <color indexed="81"/>
            <rFont val="Tahoma"/>
            <charset val="1"/>
          </rPr>
          <t>FORMULA:</t>
        </r>
        <r>
          <rPr>
            <sz val="9"/>
            <color indexed="81"/>
            <rFont val="Tahoma"/>
            <charset val="1"/>
          </rPr>
          <t xml:space="preserve">
=SUMAR.SI.CONJUNTO(movimiento_inversion[MONTO_TOTAL]; movimiento_inversion[CODIGO];[@CODIGO];movimiento_inversion[DESCRIPCIÓN];[@DESCRIPCIÓN])
</t>
        </r>
      </text>
    </comment>
  </commentList>
</comments>
</file>

<file path=xl/sharedStrings.xml><?xml version="1.0" encoding="utf-8"?>
<sst xmlns="http://schemas.openxmlformats.org/spreadsheetml/2006/main" count="243" uniqueCount="132">
  <si>
    <t>CODIGO</t>
  </si>
  <si>
    <t>NOMBRE</t>
  </si>
  <si>
    <t>TELEFONO</t>
  </si>
  <si>
    <t>DESCRIPCIÓN</t>
  </si>
  <si>
    <t>APELLIDO PATERNO</t>
  </si>
  <si>
    <t>GANANCIA</t>
  </si>
  <si>
    <t>MONTO_TOTAL</t>
  </si>
  <si>
    <t>ESTADO</t>
  </si>
  <si>
    <t>CORREO</t>
  </si>
  <si>
    <t>NOMBRES</t>
  </si>
  <si>
    <t>APELLIDO MATERNO</t>
  </si>
  <si>
    <t>OBSERVACION</t>
  </si>
  <si>
    <t>PRECIO COMPRA</t>
  </si>
  <si>
    <t>STOCK ACTUAL</t>
  </si>
  <si>
    <t>ENTRADAS</t>
  </si>
  <si>
    <t>SALIDAS</t>
  </si>
  <si>
    <t>OBSERVACIÓN</t>
  </si>
  <si>
    <t>FECHA_REGISTRO</t>
  </si>
  <si>
    <t>FECHA_PAGO</t>
  </si>
  <si>
    <t>PIZARRO</t>
  </si>
  <si>
    <t>BARBARAN</t>
  </si>
  <si>
    <t>DIRECCIÓN</t>
  </si>
  <si>
    <t>FECHA RECEPCIÓN</t>
  </si>
  <si>
    <t>FECHA EMISIÓN</t>
  </si>
  <si>
    <t>15/10/2020</t>
  </si>
  <si>
    <t xml:space="preserve">MONTO_INVERTIDO </t>
  </si>
  <si>
    <t>CAPITAL</t>
  </si>
  <si>
    <t>NOMBRE_PRODUCTO</t>
  </si>
  <si>
    <t>PRODUCTO</t>
  </si>
  <si>
    <t>DESCUENTO</t>
  </si>
  <si>
    <t>CANTIDAD</t>
  </si>
  <si>
    <t>TOTAL_VENTA</t>
  </si>
  <si>
    <t>OBSERVACIONES</t>
  </si>
  <si>
    <t>COD_CLIENTE</t>
  </si>
  <si>
    <t>VENTA FINAL</t>
  </si>
  <si>
    <t>DESCRIPCION_GASTO</t>
  </si>
  <si>
    <t>DESTINATARIO</t>
  </si>
  <si>
    <t>FACTURA</t>
  </si>
  <si>
    <t>FECHA_GASTO</t>
  </si>
  <si>
    <t>SEGUNDA IMPORTACION</t>
  </si>
  <si>
    <t>GASTOS ADMINISTRATIVOS</t>
  </si>
  <si>
    <t>COMPRA PRODUCTOS</t>
  </si>
  <si>
    <t>VENTA PRODUCTOS</t>
  </si>
  <si>
    <t>PAGO INVERSIONISTAS</t>
  </si>
  <si>
    <t>TERCERA IMPORTACION</t>
  </si>
  <si>
    <t>PRIMERA IMPORTACION</t>
  </si>
  <si>
    <t>MONTO_GASTADO</t>
  </si>
  <si>
    <t>TOTAL PAGO INVERSIONISTAS</t>
  </si>
  <si>
    <t>CAPITAL INVERSIONISTAS</t>
  </si>
  <si>
    <t>JOVA_INVERSION</t>
  </si>
  <si>
    <t>TOTAL</t>
  </si>
  <si>
    <t>GANANCIA_JOVA</t>
  </si>
  <si>
    <t xml:space="preserve"> </t>
  </si>
  <si>
    <t>No se ha considerado la inversión</t>
  </si>
  <si>
    <t>pendiente</t>
  </si>
  <si>
    <t>DOLARES</t>
  </si>
  <si>
    <t>PRECIO REGULAR</t>
  </si>
  <si>
    <t>B001-00000001</t>
  </si>
  <si>
    <t>MARIBEL ROCIO</t>
  </si>
  <si>
    <t>MALQUI</t>
  </si>
  <si>
    <t xml:space="preserve"> ÑAÑA</t>
  </si>
  <si>
    <t>JONATHAN</t>
  </si>
  <si>
    <t>CANCELADO</t>
  </si>
  <si>
    <t>ANULADO</t>
  </si>
  <si>
    <t>B001-00000002</t>
  </si>
  <si>
    <t>ROCIO MILAGROS</t>
  </si>
  <si>
    <t>CRUZ</t>
  </si>
  <si>
    <t>VIDAL</t>
  </si>
  <si>
    <t>B001-00000003</t>
  </si>
  <si>
    <t>BOLETA</t>
  </si>
  <si>
    <t>B001-00000004</t>
  </si>
  <si>
    <t>BRENDA</t>
  </si>
  <si>
    <t>ROJAS</t>
  </si>
  <si>
    <t>GABINO</t>
  </si>
  <si>
    <t>B001-00000005</t>
  </si>
  <si>
    <t>GIOVANNI</t>
  </si>
  <si>
    <t>CHANAME</t>
  </si>
  <si>
    <t>ALVARA</t>
  </si>
  <si>
    <t>FORMA_PAGO</t>
  </si>
  <si>
    <t>EFECTIVO</t>
  </si>
  <si>
    <t>TARJETA</t>
  </si>
  <si>
    <t>Jr. Las rimarimas 971 Coop. Las flores</t>
  </si>
  <si>
    <t>DOCUMENTACION</t>
  </si>
  <si>
    <t>Alibaba</t>
  </si>
  <si>
    <t>Agencia de carga</t>
  </si>
  <si>
    <t>Agencia de aduanas</t>
  </si>
  <si>
    <t>Se sumó la comisión del banco</t>
  </si>
  <si>
    <t>dolares</t>
  </si>
  <si>
    <t>Impuesto</t>
  </si>
  <si>
    <t>soles</t>
  </si>
  <si>
    <t>Transporte de almacen de aduanas</t>
  </si>
  <si>
    <t>PAGO</t>
  </si>
  <si>
    <t>TOTAL_GASTADO</t>
  </si>
  <si>
    <t>HEBER</t>
  </si>
  <si>
    <t>TORREJON</t>
  </si>
  <si>
    <t>CHUQUISUTA</t>
  </si>
  <si>
    <t>10689015</t>
  </si>
  <si>
    <t>B001-00000006</t>
  </si>
  <si>
    <t>PRECIO_UNITARIO</t>
  </si>
  <si>
    <t>PRECIO VENTA</t>
  </si>
  <si>
    <t>anticipado - credito fiscal</t>
  </si>
  <si>
    <t>gastos administrativ</t>
  </si>
  <si>
    <t>venta productos</t>
  </si>
  <si>
    <t>utilidad</t>
  </si>
  <si>
    <t>inversionistas</t>
  </si>
  <si>
    <t>F001-00000001</t>
  </si>
  <si>
    <t>MARELI'S ODONTOLOGIA ESPECIALIZADA E.I.R.L</t>
  </si>
  <si>
    <t>B001-00000007</t>
  </si>
  <si>
    <t>JAN CHRISTOPHER</t>
  </si>
  <si>
    <t>ZUÑIGA</t>
  </si>
  <si>
    <t>CHUMPITAZ</t>
  </si>
  <si>
    <t>DEPOSITO</t>
  </si>
  <si>
    <t>proveedor</t>
  </si>
  <si>
    <t>PERSONA NATURAL</t>
  </si>
  <si>
    <t>PERSONA JURIDICA</t>
  </si>
  <si>
    <t>DNI_RUC</t>
  </si>
  <si>
    <t>DENOMINACIÓN</t>
  </si>
  <si>
    <t>9/12/2020</t>
  </si>
  <si>
    <t>Recepcionado</t>
  </si>
  <si>
    <t>Pendiente</t>
  </si>
  <si>
    <t>TERCERA</t>
  </si>
  <si>
    <t>CUARTA</t>
  </si>
  <si>
    <t>DOC_CONTRATO</t>
  </si>
  <si>
    <t>DOC_PAGO</t>
  </si>
  <si>
    <t>DOCUMENTACIÓN</t>
  </si>
  <si>
    <t>ÑAÑA</t>
  </si>
  <si>
    <t>CHRISTIAN</t>
  </si>
  <si>
    <t>MIA</t>
  </si>
  <si>
    <t>ALONSO</t>
  </si>
  <si>
    <t>CESAR</t>
  </si>
  <si>
    <t>CHOCOLATE</t>
  </si>
  <si>
    <t>MININEVERA 10L - PANTALLA TACTIL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</si>
</sst>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" xfId="0" applyFill="1" applyBorder="1"/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left" vertical="center"/>
    </xf>
    <xf numFmtId="0" fontId="0" fillId="0" borderId="9" xfId="0" applyFill="1" applyBorder="1"/>
    <xf numFmtId="0" fontId="0" fillId="0" borderId="0" xfId="0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 applyAlignment="1">
      <alignment horizontal="center" vertical="center"/>
    </xf>
    <xf numFmtId="0" fontId="0" fillId="2" borderId="0" xfId="0" applyNumberFormat="1" applyFill="1" applyAlignment="1">
      <alignment horizontal="center"/>
    </xf>
    <xf numFmtId="0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left" vertical="center"/>
    </xf>
    <xf numFmtId="14" fontId="0" fillId="0" borderId="0" xfId="0" applyNumberForma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3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left"/>
    </xf>
    <xf numFmtId="14" fontId="0" fillId="0" borderId="0" xfId="0" applyNumberFormat="1" applyFont="1" applyAlignment="1">
      <alignment horizontal="center" vertical="center"/>
    </xf>
    <xf numFmtId="14" fontId="0" fillId="0" borderId="0" xfId="0" applyNumberFormat="1" applyFont="1" applyAlignment="1">
      <alignment horizontal="center"/>
    </xf>
    <xf numFmtId="14" fontId="0" fillId="0" borderId="0" xfId="0" applyNumberFormat="1" applyFont="1"/>
    <xf numFmtId="0" fontId="0" fillId="0" borderId="10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 vertical="center"/>
    </xf>
  </cellXfs>
  <cellStyles count="1">
    <cellStyle name="Normal" xfId="0" builtinId="0"/>
  </cellStyles>
  <dxfs count="88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</dxf>
    <dxf>
      <alignment horizont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jpeg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447674</xdr:colOff>
      <xdr:row>4</xdr:row>
      <xdr:rowOff>28575</xdr:rowOff>
    </xdr:from>
    <xdr:to>
      <xdr:col>19</xdr:col>
      <xdr:colOff>38099</xdr:colOff>
      <xdr:row>9</xdr:row>
      <xdr:rowOff>171450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48BCF852-F33A-4947-AFE7-F0D0E30C6857}"/>
            </a:ext>
          </a:extLst>
        </xdr:cNvPr>
        <xdr:cNvSpPr/>
      </xdr:nvSpPr>
      <xdr:spPr>
        <a:xfrm>
          <a:off x="2733674" y="981075"/>
          <a:ext cx="11782425" cy="1095375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SISTEMA DE CONTROL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INVENTARIO DE JOVA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704849</xdr:colOff>
      <xdr:row>12</xdr:row>
      <xdr:rowOff>19050</xdr:rowOff>
    </xdr:from>
    <xdr:to>
      <xdr:col>13</xdr:col>
      <xdr:colOff>381000</xdr:colOff>
      <xdr:row>17</xdr:row>
      <xdr:rowOff>142875</xdr:rowOff>
    </xdr:to>
    <xdr:grpSp>
      <xdr:nvGrpSpPr>
        <xdr:cNvPr id="24" name="Grupo 23">
          <a:extLst>
            <a:ext uri="{FF2B5EF4-FFF2-40B4-BE49-F238E27FC236}">
              <a16:creationId xmlns:a16="http://schemas.microsoft.com/office/drawing/2014/main" id="{A86F55C0-9C55-4B6C-9ADE-6BBA4F20C764}"/>
            </a:ext>
          </a:extLst>
        </xdr:cNvPr>
        <xdr:cNvGrpSpPr/>
      </xdr:nvGrpSpPr>
      <xdr:grpSpPr>
        <a:xfrm>
          <a:off x="6800849" y="2247900"/>
          <a:ext cx="3486151" cy="1076325"/>
          <a:chOff x="6772274" y="2514600"/>
          <a:chExt cx="3486151" cy="1076325"/>
        </a:xfrm>
      </xdr:grpSpPr>
      <xdr:sp macro="[0]!BOTON_PRODUCTOS" textlink="">
        <xdr:nvSpPr>
          <xdr:cNvPr id="14" name="Rectángulo: esquinas diagonales redondeadas 13">
            <a:extLst>
              <a:ext uri="{FF2B5EF4-FFF2-40B4-BE49-F238E27FC236}">
                <a16:creationId xmlns:a16="http://schemas.microsoft.com/office/drawing/2014/main" id="{315AA40D-6619-4C5D-A840-2771D7699304}"/>
              </a:ext>
            </a:extLst>
          </xdr:cNvPr>
          <xdr:cNvSpPr/>
        </xdr:nvSpPr>
        <xdr:spPr>
          <a:xfrm>
            <a:off x="6772274" y="2514600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PRODUCTOS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INGRESO</a:t>
            </a:r>
            <a:r>
              <a:rPr lang="es-PE" sz="1400" baseline="0"/>
              <a:t> DE PRODUCTOS</a:t>
            </a:r>
          </a:p>
          <a:p>
            <a:pPr algn="l"/>
            <a:r>
              <a:rPr lang="es-PE" sz="1400" baseline="0"/>
              <a:t>ASOC. A LA IMPORTACIÓN</a:t>
            </a:r>
            <a:endParaRPr lang="es-PE" sz="1400"/>
          </a:p>
        </xdr:txBody>
      </xdr:sp>
      <xdr:pic macro="[0]!BOTON_PRODUCTOS">
        <xdr:nvPicPr>
          <xdr:cNvPr id="23" name="Imagen 22" descr="Productos - Iconos gratis de envío y entrega">
            <a:extLst>
              <a:ext uri="{FF2B5EF4-FFF2-40B4-BE49-F238E27FC236}">
                <a16:creationId xmlns:a16="http://schemas.microsoft.com/office/drawing/2014/main" id="{E0F1B70D-5B42-48BC-894C-E5600B7BB9A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63050" y="2571750"/>
            <a:ext cx="895350" cy="8953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400050</xdr:colOff>
      <xdr:row>26</xdr:row>
      <xdr:rowOff>123825</xdr:rowOff>
    </xdr:from>
    <xdr:to>
      <xdr:col>8</xdr:col>
      <xdr:colOff>133350</xdr:colOff>
      <xdr:row>32</xdr:row>
      <xdr:rowOff>57150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01980934-7BEE-4923-A4DD-B53C0DFBF182}"/>
            </a:ext>
          </a:extLst>
        </xdr:cNvPr>
        <xdr:cNvGrpSpPr/>
      </xdr:nvGrpSpPr>
      <xdr:grpSpPr>
        <a:xfrm>
          <a:off x="2686050" y="5019675"/>
          <a:ext cx="3543300" cy="1076325"/>
          <a:chOff x="2686050" y="5267325"/>
          <a:chExt cx="3543300" cy="1076325"/>
        </a:xfrm>
      </xdr:grpSpPr>
      <xdr:sp macro="[0]!BOTON_MOVIMIENTO_INVERSIONES" textlink="">
        <xdr:nvSpPr>
          <xdr:cNvPr id="11" name="Rectángulo: esquinas diagonales redondeadas 10">
            <a:extLst>
              <a:ext uri="{FF2B5EF4-FFF2-40B4-BE49-F238E27FC236}">
                <a16:creationId xmlns:a16="http://schemas.microsoft.com/office/drawing/2014/main" id="{8E8366A8-C45C-48D9-A7CA-6C1D7597604C}"/>
              </a:ext>
            </a:extLst>
          </xdr:cNvPr>
          <xdr:cNvSpPr/>
        </xdr:nvSpPr>
        <xdr:spPr>
          <a:xfrm>
            <a:off x="2686050" y="5267325"/>
            <a:ext cx="3543300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MOV. INVERSIONES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REGISTRO DE</a:t>
            </a:r>
            <a:r>
              <a:rPr lang="es-PE" sz="1400" baseline="0"/>
              <a:t> CONTRIBUYENTES</a:t>
            </a:r>
            <a:endParaRPr lang="es-PE" sz="1400"/>
          </a:p>
          <a:p>
            <a:pPr algn="l"/>
            <a:r>
              <a:rPr lang="es-PE" sz="1400"/>
              <a:t>POR IMPORTACIÓN</a:t>
            </a:r>
          </a:p>
        </xdr:txBody>
      </xdr:sp>
      <xdr:pic>
        <xdr:nvPicPr>
          <xdr:cNvPr id="29" name="Imagen 28" descr="▷ ¿Qué es el capital de trabajo en una empresa? 💼 || Bruto y Neto">
            <a:extLst>
              <a:ext uri="{FF2B5EF4-FFF2-40B4-BE49-F238E27FC236}">
                <a16:creationId xmlns:a16="http://schemas.microsoft.com/office/drawing/2014/main" id="{A63391C9-7394-4D7D-BBCE-725357731D3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210175" y="5353051"/>
            <a:ext cx="923924" cy="92392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419100</xdr:colOff>
      <xdr:row>19</xdr:row>
      <xdr:rowOff>47625</xdr:rowOff>
    </xdr:from>
    <xdr:to>
      <xdr:col>8</xdr:col>
      <xdr:colOff>114300</xdr:colOff>
      <xdr:row>24</xdr:row>
      <xdr:rowOff>171450</xdr:rowOff>
    </xdr:to>
    <xdr:grpSp>
      <xdr:nvGrpSpPr>
        <xdr:cNvPr id="36" name="Grupo 35">
          <a:extLst>
            <a:ext uri="{FF2B5EF4-FFF2-40B4-BE49-F238E27FC236}">
              <a16:creationId xmlns:a16="http://schemas.microsoft.com/office/drawing/2014/main" id="{8CF87A4C-3C06-4F6E-97CE-9F7F3A834F7B}"/>
            </a:ext>
          </a:extLst>
        </xdr:cNvPr>
        <xdr:cNvGrpSpPr/>
      </xdr:nvGrpSpPr>
      <xdr:grpSpPr>
        <a:xfrm>
          <a:off x="2705100" y="3609975"/>
          <a:ext cx="3505200" cy="1076325"/>
          <a:chOff x="2705100" y="3857625"/>
          <a:chExt cx="3505200" cy="1076325"/>
        </a:xfrm>
      </xdr:grpSpPr>
      <xdr:sp macro="[0]!BOTON_IMPORTACIONES" textlink="">
        <xdr:nvSpPr>
          <xdr:cNvPr id="8" name="Rectángulo: esquinas diagonales redondeadas 7">
            <a:extLst>
              <a:ext uri="{FF2B5EF4-FFF2-40B4-BE49-F238E27FC236}">
                <a16:creationId xmlns:a16="http://schemas.microsoft.com/office/drawing/2014/main" id="{1251E500-1B83-4A63-BDD6-49941DADF78B}"/>
              </a:ext>
            </a:extLst>
          </xdr:cNvPr>
          <xdr:cNvSpPr/>
        </xdr:nvSpPr>
        <xdr:spPr>
          <a:xfrm>
            <a:off x="2705100" y="3857625"/>
            <a:ext cx="3505200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IMPORTACIONES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INGRESO</a:t>
            </a:r>
            <a:r>
              <a:rPr lang="es-PE" sz="1400" baseline="0"/>
              <a:t> DE NUEVAS</a:t>
            </a:r>
          </a:p>
          <a:p>
            <a:pPr algn="l"/>
            <a:r>
              <a:rPr lang="es-PE" sz="1400" baseline="0"/>
              <a:t>IMPORTACIONES</a:t>
            </a:r>
            <a:endParaRPr lang="es-PE" sz="1400"/>
          </a:p>
        </xdr:txBody>
      </xdr:sp>
      <xdr:pic macro="[0]!BOTON_IMPORTACIONES">
        <xdr:nvPicPr>
          <xdr:cNvPr id="35" name="Imagen 34" descr="Avión Despegando PNG transparente - StickPNG">
            <a:extLst>
              <a:ext uri="{FF2B5EF4-FFF2-40B4-BE49-F238E27FC236}">
                <a16:creationId xmlns:a16="http://schemas.microsoft.com/office/drawing/2014/main" id="{4E1C550F-A8CC-4F39-AAE7-682080F53DA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1413" b="27717"/>
          <a:stretch/>
        </xdr:blipFill>
        <xdr:spPr bwMode="auto">
          <a:xfrm>
            <a:off x="4525735" y="3933825"/>
            <a:ext cx="1627414" cy="9906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704849</xdr:colOff>
      <xdr:row>19</xdr:row>
      <xdr:rowOff>38100</xdr:rowOff>
    </xdr:from>
    <xdr:to>
      <xdr:col>13</xdr:col>
      <xdr:colOff>381000</xdr:colOff>
      <xdr:row>25</xdr:row>
      <xdr:rowOff>9526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4FB331E2-3594-473C-9E29-CACE5C2A3284}"/>
            </a:ext>
          </a:extLst>
        </xdr:cNvPr>
        <xdr:cNvGrpSpPr/>
      </xdr:nvGrpSpPr>
      <xdr:grpSpPr>
        <a:xfrm>
          <a:off x="6800849" y="3600450"/>
          <a:ext cx="3486151" cy="1114426"/>
          <a:chOff x="6800849" y="3848100"/>
          <a:chExt cx="3486151" cy="1114426"/>
        </a:xfrm>
      </xdr:grpSpPr>
      <xdr:sp macro="[0]!BOTON_VENTA_PRODUCTOS" textlink="">
        <xdr:nvSpPr>
          <xdr:cNvPr id="38" name="Rectángulo: esquinas diagonales redondeadas 37">
            <a:extLst>
              <a:ext uri="{FF2B5EF4-FFF2-40B4-BE49-F238E27FC236}">
                <a16:creationId xmlns:a16="http://schemas.microsoft.com/office/drawing/2014/main" id="{B6DF52FE-8E12-4908-8D90-DCF885E939B5}"/>
              </a:ext>
            </a:extLst>
          </xdr:cNvPr>
          <xdr:cNvSpPr/>
        </xdr:nvSpPr>
        <xdr:spPr>
          <a:xfrm>
            <a:off x="6800849" y="3876675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VENTA</a:t>
            </a:r>
            <a:r>
              <a:rPr lang="es-PE" sz="1800" b="1" baseline="0"/>
              <a:t> DE PROD.</a:t>
            </a:r>
            <a:endParaRPr lang="es-PE" sz="1800" b="1"/>
          </a:p>
          <a:p>
            <a:pPr algn="l"/>
            <a:endParaRPr lang="es-PE" sz="500"/>
          </a:p>
          <a:p>
            <a:pPr algn="l"/>
            <a:r>
              <a:rPr lang="es-PE" sz="1400"/>
              <a:t>REGISTRO DE VENTAS Y </a:t>
            </a:r>
          </a:p>
          <a:p>
            <a:pPr algn="l"/>
            <a:r>
              <a:rPr lang="es-PE" sz="1400"/>
              <a:t>CONTROL DE STOCK</a:t>
            </a:r>
          </a:p>
        </xdr:txBody>
      </xdr:sp>
      <xdr:pic macro="[0]!BOTON_VENTA_PRODUCTOS">
        <xdr:nvPicPr>
          <xdr:cNvPr id="51" name="Imagen 50" descr="Pos - Iconos gratis de comercio">
            <a:extLst>
              <a:ext uri="{FF2B5EF4-FFF2-40B4-BE49-F238E27FC236}">
                <a16:creationId xmlns:a16="http://schemas.microsoft.com/office/drawing/2014/main" id="{EB96DA11-EDCA-42F9-9130-25A7FE25D9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143999" y="3848100"/>
            <a:ext cx="1114426" cy="11144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276224</xdr:colOff>
      <xdr:row>11</xdr:row>
      <xdr:rowOff>133350</xdr:rowOff>
    </xdr:from>
    <xdr:to>
      <xdr:col>18</xdr:col>
      <xdr:colOff>714375</xdr:colOff>
      <xdr:row>18</xdr:row>
      <xdr:rowOff>9525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86C76BA5-3FB3-4AD1-8D9D-7E867539E5BE}"/>
            </a:ext>
          </a:extLst>
        </xdr:cNvPr>
        <xdr:cNvGrpSpPr/>
      </xdr:nvGrpSpPr>
      <xdr:grpSpPr>
        <a:xfrm>
          <a:off x="10944224" y="2171700"/>
          <a:ext cx="3486151" cy="1209675"/>
          <a:chOff x="10944224" y="2419350"/>
          <a:chExt cx="3486151" cy="1209675"/>
        </a:xfrm>
      </xdr:grpSpPr>
      <xdr:sp macro="[0]!BOTON_CLIENTES" textlink="">
        <xdr:nvSpPr>
          <xdr:cNvPr id="57" name="Rectángulo: esquinas diagonales redondeadas 56">
            <a:extLst>
              <a:ext uri="{FF2B5EF4-FFF2-40B4-BE49-F238E27FC236}">
                <a16:creationId xmlns:a16="http://schemas.microsoft.com/office/drawing/2014/main" id="{0BD3A84F-20AD-4ABD-BFF0-F47B2CED694C}"/>
              </a:ext>
            </a:extLst>
          </xdr:cNvPr>
          <xdr:cNvSpPr/>
        </xdr:nvSpPr>
        <xdr:spPr>
          <a:xfrm>
            <a:off x="10944224" y="2476500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CLIENTES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INGRESO</a:t>
            </a:r>
            <a:r>
              <a:rPr lang="es-PE" sz="1400" baseline="0"/>
              <a:t> DE NUEVOS</a:t>
            </a:r>
          </a:p>
          <a:p>
            <a:pPr algn="l"/>
            <a:r>
              <a:rPr lang="es-PE" sz="1400" baseline="0"/>
              <a:t>CLIENTES</a:t>
            </a:r>
            <a:endParaRPr lang="es-PE" sz="1400"/>
          </a:p>
        </xdr:txBody>
      </xdr:sp>
      <xdr:pic macro="[0]!BOTON_CLIENTES">
        <xdr:nvPicPr>
          <xdr:cNvPr id="61" name="Imagen 60" descr="funcionaria | FeSP UGT Madrid">
            <a:extLst>
              <a:ext uri="{FF2B5EF4-FFF2-40B4-BE49-F238E27FC236}">
                <a16:creationId xmlns:a16="http://schemas.microsoft.com/office/drawing/2014/main" id="{DA71FB23-2DE4-42E0-B815-61C86E7B78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863622" y="2419350"/>
            <a:ext cx="1519127" cy="12096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8</xdr:col>
      <xdr:colOff>695324</xdr:colOff>
      <xdr:row>26</xdr:row>
      <xdr:rowOff>114300</xdr:rowOff>
    </xdr:from>
    <xdr:to>
      <xdr:col>13</xdr:col>
      <xdr:colOff>371475</xdr:colOff>
      <xdr:row>32</xdr:row>
      <xdr:rowOff>47625</xdr:rowOff>
    </xdr:to>
    <xdr:grpSp>
      <xdr:nvGrpSpPr>
        <xdr:cNvPr id="71" name="Grupo 70">
          <a:extLst>
            <a:ext uri="{FF2B5EF4-FFF2-40B4-BE49-F238E27FC236}">
              <a16:creationId xmlns:a16="http://schemas.microsoft.com/office/drawing/2014/main" id="{350A566C-1692-4A9B-8732-E74545F34988}"/>
            </a:ext>
          </a:extLst>
        </xdr:cNvPr>
        <xdr:cNvGrpSpPr/>
      </xdr:nvGrpSpPr>
      <xdr:grpSpPr>
        <a:xfrm>
          <a:off x="6791324" y="5010150"/>
          <a:ext cx="3486151" cy="1076325"/>
          <a:chOff x="6791324" y="5257800"/>
          <a:chExt cx="3486151" cy="1076325"/>
        </a:xfrm>
      </xdr:grpSpPr>
      <xdr:sp macro="[0]!BOTON_GASTOS_ADMINISTRATIVOS" textlink="">
        <xdr:nvSpPr>
          <xdr:cNvPr id="54" name="Rectángulo: esquinas diagonales redondeadas 53">
            <a:extLst>
              <a:ext uri="{FF2B5EF4-FFF2-40B4-BE49-F238E27FC236}">
                <a16:creationId xmlns:a16="http://schemas.microsoft.com/office/drawing/2014/main" id="{43BDBF14-CFFC-41EC-811F-68A63D1CBC8B}"/>
              </a:ext>
            </a:extLst>
          </xdr:cNvPr>
          <xdr:cNvSpPr/>
        </xdr:nvSpPr>
        <xdr:spPr>
          <a:xfrm>
            <a:off x="6791324" y="5257800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GASTOS ADMINIST</a:t>
            </a:r>
            <a:r>
              <a:rPr lang="es-PE" sz="1800" b="1" baseline="0"/>
              <a:t>.</a:t>
            </a:r>
            <a:endParaRPr lang="es-PE" sz="1800" b="1"/>
          </a:p>
          <a:p>
            <a:pPr algn="l"/>
            <a:endParaRPr lang="es-PE" sz="500"/>
          </a:p>
          <a:p>
            <a:pPr algn="l"/>
            <a:r>
              <a:rPr lang="es-PE" sz="1400"/>
              <a:t>INGRESO</a:t>
            </a:r>
            <a:r>
              <a:rPr lang="es-PE" sz="1400" baseline="0"/>
              <a:t> DE GASTOS ASOC.</a:t>
            </a:r>
          </a:p>
          <a:p>
            <a:pPr algn="l"/>
            <a:r>
              <a:rPr lang="es-PE" sz="1400" baseline="0"/>
              <a:t>A LA IMPORTACIÓN </a:t>
            </a:r>
            <a:endParaRPr lang="es-PE" sz="1400"/>
          </a:p>
        </xdr:txBody>
      </xdr:sp>
      <xdr:pic macro="[0]!BOTON_GASTOS_ADMINISTRATIVOS">
        <xdr:nvPicPr>
          <xdr:cNvPr id="70" name="Imagen 69" descr="Cost, dollar, internet payment, money, pay, payment, transaction icon -  Download on Iconfinder">
            <a:extLst>
              <a:ext uri="{FF2B5EF4-FFF2-40B4-BE49-F238E27FC236}">
                <a16:creationId xmlns:a16="http://schemas.microsoft.com/office/drawing/2014/main" id="{4CBDFBB4-5005-469C-9AC8-EA922DF3F7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997687" y="5353050"/>
            <a:ext cx="1194062" cy="86677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276224</xdr:colOff>
      <xdr:row>19</xdr:row>
      <xdr:rowOff>57150</xdr:rowOff>
    </xdr:from>
    <xdr:to>
      <xdr:col>18</xdr:col>
      <xdr:colOff>714375</xdr:colOff>
      <xdr:row>24</xdr:row>
      <xdr:rowOff>180975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99E84FA8-8D40-425A-9C37-D17778F2CB00}"/>
            </a:ext>
          </a:extLst>
        </xdr:cNvPr>
        <xdr:cNvGrpSpPr/>
      </xdr:nvGrpSpPr>
      <xdr:grpSpPr>
        <a:xfrm>
          <a:off x="10944224" y="3619500"/>
          <a:ext cx="3486151" cy="1076325"/>
          <a:chOff x="10944224" y="3867150"/>
          <a:chExt cx="3486151" cy="1076325"/>
        </a:xfrm>
      </xdr:grpSpPr>
      <xdr:sp macro="[0]!BOTON_REPORTES" textlink="">
        <xdr:nvSpPr>
          <xdr:cNvPr id="74" name="Rectángulo: esquinas diagonales redondeadas 73">
            <a:extLst>
              <a:ext uri="{FF2B5EF4-FFF2-40B4-BE49-F238E27FC236}">
                <a16:creationId xmlns:a16="http://schemas.microsoft.com/office/drawing/2014/main" id="{DD3E7BE3-DD6A-430C-AF3D-FB6932B79752}"/>
              </a:ext>
            </a:extLst>
          </xdr:cNvPr>
          <xdr:cNvSpPr/>
        </xdr:nvSpPr>
        <xdr:spPr>
          <a:xfrm>
            <a:off x="10944224" y="3867150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REPORTES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INFORME ASOCIADO</a:t>
            </a:r>
            <a:r>
              <a:rPr lang="es-PE" sz="1400" baseline="0"/>
              <a:t> A LAS IMPORTACIONES</a:t>
            </a:r>
            <a:endParaRPr lang="es-PE" sz="1400"/>
          </a:p>
        </xdr:txBody>
      </xdr:sp>
      <xdr:pic macro="[0]!BOTON_REPORTES">
        <xdr:nvPicPr>
          <xdr:cNvPr id="76" name="Imagen 75" descr="Registro - Iconos gratis de médico">
            <a:extLst>
              <a:ext uri="{FF2B5EF4-FFF2-40B4-BE49-F238E27FC236}">
                <a16:creationId xmlns:a16="http://schemas.microsoft.com/office/drawing/2014/main" id="{D0259619-B97C-4B4E-997C-7E8F2BDF198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496925" y="3981450"/>
            <a:ext cx="899651" cy="8381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438149</xdr:colOff>
      <xdr:row>12</xdr:row>
      <xdr:rowOff>38100</xdr:rowOff>
    </xdr:from>
    <xdr:to>
      <xdr:col>8</xdr:col>
      <xdr:colOff>114300</xdr:colOff>
      <xdr:row>17</xdr:row>
      <xdr:rowOff>161925</xdr:rowOff>
    </xdr:to>
    <xdr:grpSp>
      <xdr:nvGrpSpPr>
        <xdr:cNvPr id="81" name="Grupo 80">
          <a:extLst>
            <a:ext uri="{FF2B5EF4-FFF2-40B4-BE49-F238E27FC236}">
              <a16:creationId xmlns:a16="http://schemas.microsoft.com/office/drawing/2014/main" id="{7FA92E1B-7DF8-4D4B-9385-559D5AE033CC}"/>
            </a:ext>
          </a:extLst>
        </xdr:cNvPr>
        <xdr:cNvGrpSpPr/>
      </xdr:nvGrpSpPr>
      <xdr:grpSpPr>
        <a:xfrm>
          <a:off x="2724149" y="2266950"/>
          <a:ext cx="3486151" cy="1076325"/>
          <a:chOff x="2724149" y="2514600"/>
          <a:chExt cx="3486151" cy="1076325"/>
        </a:xfrm>
      </xdr:grpSpPr>
      <xdr:sp macro="[0]!BOTON_INVERSIONISTAS" textlink="">
        <xdr:nvSpPr>
          <xdr:cNvPr id="3" name="Rectángulo: esquinas diagonales redondeadas 2">
            <a:extLst>
              <a:ext uri="{FF2B5EF4-FFF2-40B4-BE49-F238E27FC236}">
                <a16:creationId xmlns:a16="http://schemas.microsoft.com/office/drawing/2014/main" id="{58DE902E-DA29-4523-949E-E60370C6E625}"/>
              </a:ext>
            </a:extLst>
          </xdr:cNvPr>
          <xdr:cNvSpPr/>
        </xdr:nvSpPr>
        <xdr:spPr>
          <a:xfrm>
            <a:off x="2724149" y="2514600"/>
            <a:ext cx="3486151" cy="1076325"/>
          </a:xfrm>
          <a:prstGeom prst="round2DiagRect">
            <a:avLst/>
          </a:prstGeom>
          <a:solidFill>
            <a:srgbClr val="00B050"/>
          </a:solidFill>
          <a:ln>
            <a:noFill/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PE" sz="1800" b="1"/>
              <a:t>INVERSIONISTAS</a:t>
            </a:r>
          </a:p>
          <a:p>
            <a:pPr algn="l"/>
            <a:endParaRPr lang="es-PE" sz="500"/>
          </a:p>
          <a:p>
            <a:pPr algn="l"/>
            <a:r>
              <a:rPr lang="es-PE" sz="1400"/>
              <a:t>INGRESO</a:t>
            </a:r>
            <a:r>
              <a:rPr lang="es-PE" sz="1400" baseline="0"/>
              <a:t> DE NUEVOS</a:t>
            </a:r>
          </a:p>
          <a:p>
            <a:pPr algn="l"/>
            <a:r>
              <a:rPr lang="es-PE" sz="1400" baseline="0"/>
              <a:t>INVERSIONISTAS</a:t>
            </a:r>
            <a:endParaRPr lang="es-PE" sz="1400"/>
          </a:p>
        </xdr:txBody>
      </xdr:sp>
      <xdr:pic macro="[0]!BOTON_INVERSIONISTAS">
        <xdr:nvPicPr>
          <xdr:cNvPr id="80" name="Imagen 79" descr="Inversionistas | Fondimex">
            <a:extLst>
              <a:ext uri="{FF2B5EF4-FFF2-40B4-BE49-F238E27FC236}">
                <a16:creationId xmlns:a16="http://schemas.microsoft.com/office/drawing/2014/main" id="{04B8F278-EA07-4BA1-B775-8943F75265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824128" y="2543176"/>
            <a:ext cx="1309971" cy="1009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9</xdr:col>
      <xdr:colOff>28575</xdr:colOff>
      <xdr:row>5</xdr:row>
      <xdr:rowOff>171450</xdr:rowOff>
    </xdr:to>
    <xdr:sp macro="" textlink="">
      <xdr:nvSpPr>
        <xdr:cNvPr id="5" name="Rectángulo: esquinas diagonales redondeada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5" y="28575"/>
          <a:ext cx="13963650" cy="1095375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LOS INVERSIONISTAS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485775</xdr:colOff>
      <xdr:row>6</xdr:row>
      <xdr:rowOff>9525</xdr:rowOff>
    </xdr:from>
    <xdr:to>
      <xdr:col>1</xdr:col>
      <xdr:colOff>504823</xdr:colOff>
      <xdr:row>10</xdr:row>
      <xdr:rowOff>161923</xdr:rowOff>
    </xdr:to>
    <xdr:pic macro="[0]!INGRESAR_INVERSIONISTAS">
      <xdr:nvPicPr>
        <xdr:cNvPr id="20" name="Imagen 19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EBE7B5D1-FF18-4036-9E8D-6217DA12F2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1152525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1143216</xdr:colOff>
      <xdr:row>6</xdr:row>
      <xdr:rowOff>57491</xdr:rowOff>
    </xdr:from>
    <xdr:to>
      <xdr:col>2</xdr:col>
      <xdr:colOff>838199</xdr:colOff>
      <xdr:row>10</xdr:row>
      <xdr:rowOff>142875</xdr:rowOff>
    </xdr:to>
    <xdr:pic macro="[0]!BOTON_VOLVER_MENU">
      <xdr:nvPicPr>
        <xdr:cNvPr id="22" name="Imagen 21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B4497752-5B52-4A05-9624-89C7E501A44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2038566" y="1200491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28575</xdr:rowOff>
    </xdr:from>
    <xdr:to>
      <xdr:col>7</xdr:col>
      <xdr:colOff>0</xdr:colOff>
      <xdr:row>6</xdr:row>
      <xdr:rowOff>0</xdr:rowOff>
    </xdr:to>
    <xdr:sp macro="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62000" y="28575"/>
          <a:ext cx="9477375" cy="1114425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LAS IMPORTACIONES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66675</xdr:colOff>
      <xdr:row>6</xdr:row>
      <xdr:rowOff>28575</xdr:rowOff>
    </xdr:from>
    <xdr:to>
      <xdr:col>1</xdr:col>
      <xdr:colOff>981073</xdr:colOff>
      <xdr:row>10</xdr:row>
      <xdr:rowOff>180973</xdr:rowOff>
    </xdr:to>
    <xdr:pic macro="[0]!INGRESAR_IMPORTACIONES">
      <xdr:nvPicPr>
        <xdr:cNvPr id="8" name="Imagen 7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FF28F162-699F-42BB-B5DA-152E68F503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1171575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1619466</xdr:colOff>
      <xdr:row>6</xdr:row>
      <xdr:rowOff>76541</xdr:rowOff>
    </xdr:from>
    <xdr:to>
      <xdr:col>2</xdr:col>
      <xdr:colOff>247649</xdr:colOff>
      <xdr:row>10</xdr:row>
      <xdr:rowOff>161925</xdr:rowOff>
    </xdr:to>
    <xdr:pic macro="[0]!BOTON_VOLVER_MENU">
      <xdr:nvPicPr>
        <xdr:cNvPr id="9" name="Imagen 8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4C797E66-4164-473A-9F20-E16CA4EDDF4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2381466" y="1219541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14</xdr:col>
      <xdr:colOff>9525</xdr:colOff>
      <xdr:row>6</xdr:row>
      <xdr:rowOff>0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F6BFEC81-30DB-4CB9-992E-46485FD311C2}"/>
            </a:ext>
          </a:extLst>
        </xdr:cNvPr>
        <xdr:cNvSpPr/>
      </xdr:nvSpPr>
      <xdr:spPr>
        <a:xfrm>
          <a:off x="28575" y="28575"/>
          <a:ext cx="19869150" cy="1114425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MOVIMIENTO DE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LAS INVERSIONES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314325</xdr:colOff>
      <xdr:row>6</xdr:row>
      <xdr:rowOff>19050</xdr:rowOff>
    </xdr:from>
    <xdr:to>
      <xdr:col>1</xdr:col>
      <xdr:colOff>114298</xdr:colOff>
      <xdr:row>10</xdr:row>
      <xdr:rowOff>171448</xdr:rowOff>
    </xdr:to>
    <xdr:pic macro="[0]!INGRESAR_MOV_INVERSIONISTAS">
      <xdr:nvPicPr>
        <xdr:cNvPr id="7" name="Imagen 6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4966DD5B-25C2-4086-B4DB-73A4064015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162050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752691</xdr:colOff>
      <xdr:row>6</xdr:row>
      <xdr:rowOff>67016</xdr:rowOff>
    </xdr:from>
    <xdr:to>
      <xdr:col>2</xdr:col>
      <xdr:colOff>638174</xdr:colOff>
      <xdr:row>10</xdr:row>
      <xdr:rowOff>152400</xdr:rowOff>
    </xdr:to>
    <xdr:pic macro="[0]!BOTON_VOLVER_MENU">
      <xdr:nvPicPr>
        <xdr:cNvPr id="8" name="Imagen 7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5AF4D9B8-BFEB-4889-A06B-2019C07694B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1867116" y="1210016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38100</xdr:rowOff>
    </xdr:from>
    <xdr:to>
      <xdr:col>10</xdr:col>
      <xdr:colOff>9525</xdr:colOff>
      <xdr:row>6</xdr:row>
      <xdr:rowOff>28575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FAA941B2-1C17-4F21-B5E5-DFD74AC0EEAF}"/>
            </a:ext>
          </a:extLst>
        </xdr:cNvPr>
        <xdr:cNvSpPr/>
      </xdr:nvSpPr>
      <xdr:spPr>
        <a:xfrm>
          <a:off x="28575" y="38100"/>
          <a:ext cx="15306675" cy="1133475"/>
        </a:xfrm>
        <a:prstGeom prst="round2Diag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PRODUCTOS</a:t>
          </a:r>
        </a:p>
      </xdr:txBody>
    </xdr:sp>
    <xdr:clientData/>
  </xdr:twoCellAnchor>
  <xdr:twoCellAnchor editAs="oneCell">
    <xdr:from>
      <xdr:col>0</xdr:col>
      <xdr:colOff>323850</xdr:colOff>
      <xdr:row>6</xdr:row>
      <xdr:rowOff>76200</xdr:rowOff>
    </xdr:from>
    <xdr:to>
      <xdr:col>0</xdr:col>
      <xdr:colOff>1238248</xdr:colOff>
      <xdr:row>10</xdr:row>
      <xdr:rowOff>161923</xdr:rowOff>
    </xdr:to>
    <xdr:pic macro="[0]!INGRESAR_PRODUCTOS">
      <xdr:nvPicPr>
        <xdr:cNvPr id="7" name="Imagen 6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C96D697D-862C-4295-A1C3-C13FE20303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219200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247866</xdr:colOff>
      <xdr:row>6</xdr:row>
      <xdr:rowOff>114641</xdr:rowOff>
    </xdr:from>
    <xdr:to>
      <xdr:col>1</xdr:col>
      <xdr:colOff>1104899</xdr:colOff>
      <xdr:row>10</xdr:row>
      <xdr:rowOff>133350</xdr:rowOff>
    </xdr:to>
    <xdr:pic macro="[0]!BOTON_VOLVER_MENU">
      <xdr:nvPicPr>
        <xdr:cNvPr id="8" name="Imagen 7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D4FF41A1-A85D-4662-B2A2-03FB3FC5C18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1914741" y="1257641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38100</xdr:rowOff>
    </xdr:from>
    <xdr:to>
      <xdr:col>19</xdr:col>
      <xdr:colOff>19050</xdr:colOff>
      <xdr:row>6</xdr:row>
      <xdr:rowOff>28575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006F90D3-7E92-41CC-8C90-742BE634F433}"/>
            </a:ext>
          </a:extLst>
        </xdr:cNvPr>
        <xdr:cNvSpPr/>
      </xdr:nvSpPr>
      <xdr:spPr>
        <a:xfrm>
          <a:off x="28575" y="38100"/>
          <a:ext cx="27031950" cy="1133475"/>
        </a:xfrm>
        <a:prstGeom prst="round2DiagRect">
          <a:avLst/>
        </a:prstGeom>
        <a:solidFill>
          <a:srgbClr val="00B050"/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VENTA DE PRODUCTOS</a:t>
          </a:r>
        </a:p>
      </xdr:txBody>
    </xdr:sp>
    <xdr:clientData/>
  </xdr:twoCellAnchor>
  <xdr:twoCellAnchor editAs="oneCell">
    <xdr:from>
      <xdr:col>0</xdr:col>
      <xdr:colOff>257175</xdr:colOff>
      <xdr:row>6</xdr:row>
      <xdr:rowOff>57150</xdr:rowOff>
    </xdr:from>
    <xdr:to>
      <xdr:col>0</xdr:col>
      <xdr:colOff>1171573</xdr:colOff>
      <xdr:row>10</xdr:row>
      <xdr:rowOff>133348</xdr:rowOff>
    </xdr:to>
    <xdr:pic macro="[0]!INGRESAR_VENTA_PRODUCTO">
      <xdr:nvPicPr>
        <xdr:cNvPr id="7" name="Imagen 6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7286D3B6-6B0E-4338-A139-281D4BF0BD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200150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95466</xdr:colOff>
      <xdr:row>6</xdr:row>
      <xdr:rowOff>105116</xdr:rowOff>
    </xdr:from>
    <xdr:to>
      <xdr:col>1</xdr:col>
      <xdr:colOff>952499</xdr:colOff>
      <xdr:row>10</xdr:row>
      <xdr:rowOff>114300</xdr:rowOff>
    </xdr:to>
    <xdr:pic macro="[0]!BOTON_VOLVER_MENU">
      <xdr:nvPicPr>
        <xdr:cNvPr id="8" name="Imagen 7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70D77C03-8704-40AE-97FD-39716A8DD1E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1809966" y="1248116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11</xdr:col>
      <xdr:colOff>9525</xdr:colOff>
      <xdr:row>6</xdr:row>
      <xdr:rowOff>19050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20588C00-2991-45EC-86FC-B8BBDDB9FC5A}"/>
            </a:ext>
          </a:extLst>
        </xdr:cNvPr>
        <xdr:cNvSpPr/>
      </xdr:nvSpPr>
      <xdr:spPr>
        <a:xfrm>
          <a:off x="28575" y="28575"/>
          <a:ext cx="17345025" cy="1133475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GASTOS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ADMINISTRATIVOS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342900</xdr:colOff>
      <xdr:row>6</xdr:row>
      <xdr:rowOff>57150</xdr:rowOff>
    </xdr:from>
    <xdr:to>
      <xdr:col>1</xdr:col>
      <xdr:colOff>495298</xdr:colOff>
      <xdr:row>10</xdr:row>
      <xdr:rowOff>104773</xdr:rowOff>
    </xdr:to>
    <xdr:pic macro="[0]!INGRESAR_GASTOS_ADMIN">
      <xdr:nvPicPr>
        <xdr:cNvPr id="7" name="Imagen 6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E6767713-6812-4E15-A0FB-0A49559200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200150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1133691</xdr:colOff>
      <xdr:row>6</xdr:row>
      <xdr:rowOff>105116</xdr:rowOff>
    </xdr:from>
    <xdr:to>
      <xdr:col>2</xdr:col>
      <xdr:colOff>266699</xdr:colOff>
      <xdr:row>10</xdr:row>
      <xdr:rowOff>85725</xdr:rowOff>
    </xdr:to>
    <xdr:pic macro="[0]!BOTON_VOLVER_MENU">
      <xdr:nvPicPr>
        <xdr:cNvPr id="8" name="Imagen 7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663E1FB4-2E0A-4C97-8A31-7D7A12403807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1895691" y="1248116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7</xdr:col>
      <xdr:colOff>2143125</xdr:colOff>
      <xdr:row>6</xdr:row>
      <xdr:rowOff>28575</xdr:rowOff>
    </xdr:to>
    <xdr:sp macro="" textlink="">
      <xdr:nvSpPr>
        <xdr:cNvPr id="2" name="Rectángulo: esquinas diagonales redondeadas 1">
          <a:extLst>
            <a:ext uri="{FF2B5EF4-FFF2-40B4-BE49-F238E27FC236}">
              <a16:creationId xmlns:a16="http://schemas.microsoft.com/office/drawing/2014/main" id="{0ABD7756-65D8-4B8A-89F0-B4FCD8216EA9}"/>
            </a:ext>
          </a:extLst>
        </xdr:cNvPr>
        <xdr:cNvSpPr/>
      </xdr:nvSpPr>
      <xdr:spPr>
        <a:xfrm>
          <a:off x="28575" y="28575"/>
          <a:ext cx="13420725" cy="1143000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DATOS</a:t>
          </a:r>
          <a:r>
            <a:rPr lang="es-PE" sz="2800" b="1" baseline="0">
              <a:latin typeface="Arial" panose="020B0604020202020204" pitchFamily="34" charset="0"/>
              <a:cs typeface="Arial" panose="020B0604020202020204" pitchFamily="34" charset="0"/>
            </a:rPr>
            <a:t> DE LOS CLIENTES</a:t>
          </a:r>
          <a:endParaRPr lang="es-PE" sz="2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238125</xdr:colOff>
      <xdr:row>6</xdr:row>
      <xdr:rowOff>85725</xdr:rowOff>
    </xdr:from>
    <xdr:to>
      <xdr:col>0</xdr:col>
      <xdr:colOff>1152523</xdr:colOff>
      <xdr:row>10</xdr:row>
      <xdr:rowOff>114298</xdr:rowOff>
    </xdr:to>
    <xdr:pic macro="[0]!INGRESAR_CLIENTES">
      <xdr:nvPicPr>
        <xdr:cNvPr id="9" name="Imagen 8" descr="Agregar Botón De Icono De Carpeta. Ilustraciones Vectoriales, Clip Art  Vectorizado Libre De Derechos. Image 80792514.">
          <a:extLst>
            <a:ext uri="{FF2B5EF4-FFF2-40B4-BE49-F238E27FC236}">
              <a16:creationId xmlns:a16="http://schemas.microsoft.com/office/drawing/2014/main" id="{0F87E700-18E2-48D0-9B97-AA0ACC80630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228725"/>
          <a:ext cx="914398" cy="9143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590766</xdr:colOff>
      <xdr:row>6</xdr:row>
      <xdr:rowOff>133691</xdr:rowOff>
    </xdr:from>
    <xdr:to>
      <xdr:col>2</xdr:col>
      <xdr:colOff>180974</xdr:colOff>
      <xdr:row>10</xdr:row>
      <xdr:rowOff>95250</xdr:rowOff>
    </xdr:to>
    <xdr:pic macro="[0]!BOTON_VOLVER_MENU">
      <xdr:nvPicPr>
        <xdr:cNvPr id="10" name="Imagen 9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B20E3150-EE7E-451F-B49D-3BC7774998F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1790916" y="1276691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28575</xdr:rowOff>
    </xdr:from>
    <xdr:to>
      <xdr:col>11</xdr:col>
      <xdr:colOff>9524</xdr:colOff>
      <xdr:row>6</xdr:row>
      <xdr:rowOff>28575</xdr:rowOff>
    </xdr:to>
    <xdr:sp macro="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C17B5A90-ACDE-478A-AAFC-5C344182B799}"/>
            </a:ext>
          </a:extLst>
        </xdr:cNvPr>
        <xdr:cNvSpPr/>
      </xdr:nvSpPr>
      <xdr:spPr>
        <a:xfrm>
          <a:off x="28575" y="28575"/>
          <a:ext cx="16354424" cy="1143000"/>
        </a:xfrm>
        <a:prstGeom prst="round2DiagRect">
          <a:avLst/>
        </a:prstGeom>
        <a:solidFill>
          <a:srgbClr val="00B05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latin typeface="Arial" panose="020B0604020202020204" pitchFamily="34" charset="0"/>
              <a:cs typeface="Arial" panose="020B0604020202020204" pitchFamily="34" charset="0"/>
            </a:rPr>
            <a:t>REPORTES</a:t>
          </a:r>
        </a:p>
      </xdr:txBody>
    </xdr:sp>
    <xdr:clientData/>
  </xdr:twoCellAnchor>
  <xdr:twoCellAnchor editAs="oneCell">
    <xdr:from>
      <xdr:col>1</xdr:col>
      <xdr:colOff>790791</xdr:colOff>
      <xdr:row>6</xdr:row>
      <xdr:rowOff>86066</xdr:rowOff>
    </xdr:from>
    <xdr:to>
      <xdr:col>1</xdr:col>
      <xdr:colOff>1647824</xdr:colOff>
      <xdr:row>10</xdr:row>
      <xdr:rowOff>76200</xdr:rowOff>
    </xdr:to>
    <xdr:pic macro="[0]!BOTON_VOLVER_MENU">
      <xdr:nvPicPr>
        <xdr:cNvPr id="5" name="Imagen 4" descr="Home Icon Botón Redondo Azul Brillante Fotos, Retratos, Imágenes Y  Fotografía De Archivo Libres De Derecho. Image 36709239.">
          <a:extLst>
            <a:ext uri="{FF2B5EF4-FFF2-40B4-BE49-F238E27FC236}">
              <a16:creationId xmlns:a16="http://schemas.microsoft.com/office/drawing/2014/main" id="{45444C1A-1CDB-4214-BB8B-B8E24531BA7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653" t="8385" r="2404" b="17308"/>
        <a:stretch/>
      </xdr:blipFill>
      <xdr:spPr bwMode="auto">
        <a:xfrm>
          <a:off x="790791" y="1229066"/>
          <a:ext cx="857033" cy="847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12:I17" totalsRowShown="0" headerRowDxfId="87" dataDxfId="85" headerRowBorderDxfId="86" tableBorderDxfId="84" totalsRowBorderDxfId="83">
  <autoFilter ref="A12:I17" xr:uid="{00000000-0009-0000-0100-000003000000}"/>
  <tableColumns count="9">
    <tableColumn id="1" xr3:uid="{00000000-0010-0000-0000-000001000000}" name="CODIGO" dataDxfId="82"/>
    <tableColumn id="9" xr3:uid="{064BBF12-7E2A-44AC-AD33-881C3CC83688}" name="DNI_RUC" dataDxfId="0"/>
    <tableColumn id="8" xr3:uid="{06BA8E08-E98C-4840-A7C4-4C6B31B3E39B}" name="DENOMINACIÓN" dataDxfId="1"/>
    <tableColumn id="2" xr3:uid="{00000000-0010-0000-0000-000002000000}" name="NOMBRES" dataDxfId="81"/>
    <tableColumn id="3" xr3:uid="{00000000-0010-0000-0000-000003000000}" name="APELLIDO PATERNO" dataDxfId="80"/>
    <tableColumn id="4" xr3:uid="{00000000-0010-0000-0000-000004000000}" name="APELLIDO MATERNO" dataDxfId="79"/>
    <tableColumn id="7" xr3:uid="{00000000-0010-0000-0000-000007000000}" name="DIRECCIÓN" dataDxfId="78"/>
    <tableColumn id="5" xr3:uid="{00000000-0010-0000-0000-000005000000}" name="TELEFONO" dataDxfId="77"/>
    <tableColumn id="6" xr3:uid="{00000000-0010-0000-0000-000006000000}" name="CORREO" dataDxfId="7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importaciones" displayName="tabla_importaciones" ref="B12:G16" totalsRowShown="0" headerRowDxfId="75" dataDxfId="74">
  <autoFilter ref="B12:G16" xr:uid="{00000000-0009-0000-0100-000002000000}"/>
  <tableColumns count="6">
    <tableColumn id="2" xr3:uid="{00000000-0010-0000-0100-000002000000}" name="DESCRIPCIÓN" dataDxfId="73"/>
    <tableColumn id="3" xr3:uid="{00000000-0010-0000-0100-000003000000}" name="FECHA EMISIÓN"/>
    <tableColumn id="4" xr3:uid="{00000000-0010-0000-0100-000004000000}" name="FECHA RECEPCIÓN" dataDxfId="72"/>
    <tableColumn id="5" xr3:uid="{00000000-0010-0000-0100-000005000000}" name="CAPITAL" dataDxfId="71">
      <calculatedColumnFormula>SUMIF(movimiento_inversion[DESCRIPCIÓN], tabla_importaciones[[#This Row],[DESCRIPCIÓN]], movimiento_inversion[MONTO_INVERTIDO ])</calculatedColumnFormula>
    </tableColumn>
    <tableColumn id="1" xr3:uid="{77BC83DE-AC46-4F5F-907D-8B5AFC23B72F}" name="DOLARES" dataDxfId="70"/>
    <tableColumn id="6" xr3:uid="{00000000-0010-0000-0100-000006000000}" name="ESTADO" dataDxfId="6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movimiento_inversion" displayName="movimiento_inversion" ref="A12:N17" totalsRowShown="0" headerRowDxfId="3" dataDxfId="2">
  <autoFilter ref="A12:N17" xr:uid="{00000000-0009-0000-0100-000001000000}"/>
  <tableColumns count="14">
    <tableColumn id="1" xr3:uid="{00000000-0010-0000-0200-000001000000}" name="FECHA_REGISTRO" dataDxfId="17"/>
    <tableColumn id="2" xr3:uid="{00000000-0010-0000-0200-000002000000}" name="CODIGO" dataDxfId="16"/>
    <tableColumn id="13" xr3:uid="{64EF7BC2-DA5D-44EC-850C-D7A40B021E53}" name="DESCRIPCIÓN" dataDxfId="15"/>
    <tableColumn id="3" xr3:uid="{00000000-0010-0000-0200-000003000000}" name="NOMBRE" dataDxfId="14"/>
    <tableColumn id="4" xr3:uid="{00000000-0010-0000-0200-000004000000}" name="APELLIDO PATERNO" dataDxfId="13"/>
    <tableColumn id="5" xr3:uid="{00000000-0010-0000-0200-000005000000}" name="APELLIDO MATERNO" dataDxfId="12"/>
    <tableColumn id="7" xr3:uid="{00000000-0010-0000-0200-000007000000}" name="MONTO_INVERTIDO " dataDxfId="11"/>
    <tableColumn id="8" xr3:uid="{00000000-0010-0000-0200-000008000000}" name="GANANCIA" dataDxfId="10"/>
    <tableColumn id="9" xr3:uid="{00000000-0010-0000-0200-000009000000}" name="MONTO_TOTAL" dataDxfId="9">
      <calculatedColumnFormula>movimiento_inversion[[#This Row],[MONTO_INVERTIDO ]]+movimiento_inversion[[#This Row],[MONTO_INVERTIDO ]]*(movimiento_inversion[[#This Row],[GANANCIA]]/100)</calculatedColumnFormula>
    </tableColumn>
    <tableColumn id="10" xr3:uid="{00000000-0010-0000-0200-00000A000000}" name="OBSERVACIÓN" dataDxfId="8"/>
    <tableColumn id="11" xr3:uid="{00000000-0010-0000-0200-00000B000000}" name="FECHA_PAGO" dataDxfId="7"/>
    <tableColumn id="12" xr3:uid="{00000000-0010-0000-0200-00000C000000}" name="ESTADO" dataDxfId="6"/>
    <tableColumn id="14" xr3:uid="{CD8E12AF-9847-4FF8-9105-C0139DF76B31}" name="DOC_CONTRATO" dataDxfId="5"/>
    <tableColumn id="15" xr3:uid="{4F01ED15-D705-442C-B050-E2DE9ACA9C54}" name="DOC_PAGO" dataDxfId="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7A859D-38B9-459F-8248-C45CDA4A66F8}" name="tabla_productos" displayName="tabla_productos" ref="A12:J15" totalsRowShown="0" headerRowDxfId="68">
  <autoFilter ref="A12:J15" xr:uid="{ECE5C1A3-0EB4-44DA-A5D6-8E09A5AD3C12}"/>
  <tableColumns count="10">
    <tableColumn id="1" xr3:uid="{E28E52D0-EE9F-4BFA-80F9-2CE97DCBE082}" name="DESCRIPCIÓN"/>
    <tableColumn id="11" xr3:uid="{86B00957-1AF8-43AC-8F32-C835783692D9}" name="CODIGO"/>
    <tableColumn id="2" xr3:uid="{4036FBE1-3C05-4141-91F4-5B48953CDF86}" name="NOMBRE_PRODUCTO"/>
    <tableColumn id="8" xr3:uid="{245EBD33-1B15-422D-88F2-60E064670F5F}" name="PRECIO_UNITARIO"/>
    <tableColumn id="3" xr3:uid="{4C3A7930-BA4A-40AF-A9E6-D9C140FA868C}" name="PRECIO COMPRA" dataDxfId="67">
      <calculatedColumnFormula>IFERROR(tabla_productos[[#This Row],[PRECIO_UNITARIO]]*(VLOOKUP(tabla_productos[[#This Row],[DESCRIPCIÓN]],tabla_importaciones[],5,FALSE)),0)</calculatedColumnFormula>
    </tableColumn>
    <tableColumn id="4" xr3:uid="{17AABFD3-468F-44A1-8CD5-7054B137436E}" name="PRECIO VENTA" dataDxfId="66">
      <calculatedColumnFormula>0</calculatedColumnFormula>
    </tableColumn>
    <tableColumn id="5" xr3:uid="{2DF20EC3-5C68-477A-9EA2-DA821097369A}" name="ENTRADAS"/>
    <tableColumn id="6" xr3:uid="{1972F258-8CDE-42AE-889D-BCE0194D42A0}" name="SALIDAS" dataDxfId="65">
      <calculatedColumnFormula>SUMIFS(venta_productos[CANTIDAD],venta_productos[CODIGO],tabla_productos[[#This Row],[CODIGO]], venta_productos[ESTADO],"CANCELADO")</calculatedColumnFormula>
    </tableColumn>
    <tableColumn id="7" xr3:uid="{BCD2BA7B-7057-408B-9A9A-E9754CD467BB}" name="STOCK ACTUAL" dataDxfId="64">
      <calculatedColumnFormula>tabla_productos[[#This Row],[ENTRADAS]]-tabla_productos[[#This Row],[SALIDAS]]</calculatedColumnFormula>
    </tableColumn>
    <tableColumn id="10" xr3:uid="{48ADF663-0DA8-444B-B469-F9089C2B2F66}" name="MONTO_GASTADO" dataDxfId="63">
      <calculatedColumnFormula>tabla_productos[[#This Row],[PRECIO COMPRA]]*tabla_productos[[#This Row],[ENTRADAS]]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0F154EB-E5D3-4FD2-9D2C-ED08266F961A}" name="venta_productos" displayName="venta_productos" ref="A12:S21" totalsRowShown="0" headerRowDxfId="19" dataDxfId="18">
  <autoFilter ref="A12:S21" xr:uid="{877C24E3-DCA6-4916-9915-C6C7A417CF6C}"/>
  <tableColumns count="19">
    <tableColumn id="16" xr3:uid="{EB850745-EA89-4797-89BB-EA5597717293}" name="DESCRIPCIÓN" dataDxfId="38"/>
    <tableColumn id="1" xr3:uid="{107A105B-D195-47B0-86D4-A2AE58BFFE65}" name="FECHA_REGISTRO" dataDxfId="37"/>
    <tableColumn id="15" xr3:uid="{53D463E6-9A00-40BA-93D0-709DEFB537B4}" name="BOLETA" dataDxfId="36"/>
    <tableColumn id="3" xr3:uid="{AFE6C202-9EDC-4688-99AA-EFC51E8838D7}" name="CODIGO" dataDxfId="35"/>
    <tableColumn id="4" xr3:uid="{F34AE236-583C-4B0E-8AAC-6EDC4445C815}" name="PRODUCTO" dataDxfId="34"/>
    <tableColumn id="5" xr3:uid="{6F928B6B-FCA2-4942-AF05-3B902CA224D7}" name="CANTIDAD" dataDxfId="33"/>
    <tableColumn id="6" xr3:uid="{E5C5D9AA-8B52-496B-8F03-1440F5E58481}" name="PRECIO REGULAR" dataDxfId="32"/>
    <tableColumn id="7" xr3:uid="{C4D98CA2-8038-4B6F-808C-7C1D49DF2E9B}" name="DESCUENTO" dataDxfId="31"/>
    <tableColumn id="8" xr3:uid="{DDF39D12-6392-45A8-A431-CF14A710C774}" name="VENTA FINAL" dataDxfId="30">
      <calculatedColumnFormula>venta_productos[[#This Row],[PRECIO REGULAR]]-venta_productos[[#This Row],[DESCUENTO]]</calculatedColumnFormula>
    </tableColumn>
    <tableColumn id="9" xr3:uid="{278FDBF1-D486-450C-AE5C-F03567F72492}" name="TOTAL_VENTA" dataDxfId="29">
      <calculatedColumnFormula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calculatedColumnFormula>
    </tableColumn>
    <tableColumn id="10" xr3:uid="{F0B03849-3C02-4DD2-8506-E54DF11C69E5}" name="COD_CLIENTE" dataDxfId="28"/>
    <tableColumn id="19" xr3:uid="{F79552CF-7872-4170-9149-548E6BE8D208}" name="DNI_RUC" dataDxfId="27"/>
    <tableColumn id="11" xr3:uid="{7BC13341-2A0A-4258-9460-76010E34B6A4}" name="NOMBRE" dataDxfId="26"/>
    <tableColumn id="12" xr3:uid="{6D6A3DE9-989B-4F4E-B0C4-DF95C22DB918}" name="APELLIDO PATERNO" dataDxfId="25"/>
    <tableColumn id="13" xr3:uid="{5498EFB4-CF4E-45C6-9529-115D2338EA22}" name="APELLIDO MATERNO" dataDxfId="24"/>
    <tableColumn id="17" xr3:uid="{F154F7FC-8CFC-4503-8A9A-157AA59137EA}" name="FORMA_PAGO" dataDxfId="23"/>
    <tableColumn id="2" xr3:uid="{EF81E9D1-1A5E-43EF-A505-40B6E949438A}" name="ESTADO" dataDxfId="22"/>
    <tableColumn id="18" xr3:uid="{FB5F5A65-8661-4865-B66C-0B673C18AF32}" name="DOCUMENTACION" dataDxfId="21"/>
    <tableColumn id="14" xr3:uid="{AA146C00-25FF-445E-9476-9493515D55DA}" name="OBSERVACIONES" dataDxfId="20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B8AB9BE-EE20-4C0E-AE43-D2870FBFAC0B}" name="gastos_administrativos" displayName="gastos_administrativos" ref="A12:K19" totalsRowShown="0" headerRowDxfId="62">
  <autoFilter ref="A12:K19" xr:uid="{A4B6CB3C-A5D0-47CE-86D0-BBDCA4190FC9}"/>
  <tableColumns count="11">
    <tableColumn id="1" xr3:uid="{29B83649-697A-46F2-9C75-0F9AFF74E1C4}" name="CODIGO" dataDxfId="61"/>
    <tableColumn id="2" xr3:uid="{FBB6C76C-6D7E-4C76-83A0-21D2C9392869}" name="DESCRIPCIÓN"/>
    <tableColumn id="3" xr3:uid="{A7C7DBBA-B8D1-4234-BB2D-2B12FFE88C56}" name="FECHA_GASTO"/>
    <tableColumn id="4" xr3:uid="{050F81B7-4B3F-4AE8-A891-B243F8047C82}" name="FACTURA"/>
    <tableColumn id="11" xr3:uid="{3315A7B4-35AD-49CD-8608-3DEDB2106B07}" name="DESTINATARIO"/>
    <tableColumn id="5" xr3:uid="{FBF28A3F-8700-4357-804C-598700B9AF16}" name="DESCRIPCION_GASTO"/>
    <tableColumn id="13" xr3:uid="{3414EED1-8025-44FA-AF89-FF3759B89A29}" name="PAGO" dataDxfId="60"/>
    <tableColumn id="6" xr3:uid="{F57317DA-BC23-41D7-9159-D76C4A7FECB4}" name="MONTO_GASTADO" dataDxfId="59"/>
    <tableColumn id="14" xr3:uid="{C9B80DCB-90F1-4DE6-B8BA-A398724021A3}" name="TOTAL_GASTADO" dataDxfId="58">
      <calculatedColumnFormula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calculatedColumnFormula>
    </tableColumn>
    <tableColumn id="7" xr3:uid="{89A0CB8C-6CD8-402A-8CC8-40B54D50CC9C}" name="DOCUMENTACIÓN" dataDxfId="42"/>
    <tableColumn id="9" xr3:uid="{8C7ECBC3-3C90-4657-B09D-FBC230F1228A}" name="OBSERVACION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D6F3546-7800-4A1E-8E7D-3701FC1950AD}" name="tabla_clientes" displayName="tabla_clientes" ref="A12:H21" totalsRowShown="0" headerRowDxfId="57">
  <autoFilter ref="A12:H21" xr:uid="{6C34AAD9-591E-4684-9CC5-85E68C97D932}"/>
  <tableColumns count="8">
    <tableColumn id="1" xr3:uid="{58E67145-5838-458C-802E-07B90D58982D}" name="COD_CLIENTE" dataDxfId="41"/>
    <tableColumn id="10" xr3:uid="{5838D37F-1DC7-4DBC-8153-BCDFD979631D}" name="DNI_RUC" dataDxfId="39"/>
    <tableColumn id="8" xr3:uid="{5B039585-B4A4-48B1-BF88-2DC781F5B662}" name="DENOMINACIÓN" dataDxfId="40"/>
    <tableColumn id="2" xr3:uid="{B57DEB26-31CA-4086-834E-82A146E35025}" name="NOMBRE" dataDxfId="56"/>
    <tableColumn id="3" xr3:uid="{85BB5526-EDFE-4BCE-B532-53D0BE56B391}" name="APELLIDO PATERNO" dataDxfId="55"/>
    <tableColumn id="4" xr3:uid="{2605D093-5A10-49CD-8443-0D6FDA41A777}" name="APELLIDO MATERNO" dataDxfId="54"/>
    <tableColumn id="5" xr3:uid="{C6D1D24B-C813-4B31-9C7C-B05F2ED5FB31}" name="TELEFONO" dataDxfId="53"/>
    <tableColumn id="7" xr3:uid="{AAB9BB4E-72F5-4F43-AABD-B3E15687842C}" name="CORREO" dataDxfId="52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7E4A1A-653F-4B52-85DB-AE888D9218FC}" name="reportes" displayName="reportes" ref="B12:K15" totalsRowShown="0">
  <autoFilter ref="B12:K15" xr:uid="{141FD751-BBAA-469E-B8E7-91962E338F09}"/>
  <tableColumns count="10">
    <tableColumn id="1" xr3:uid="{459F58A5-7066-49DA-B9C0-632D4A10D3E5}" name="DESCRIPCIÓN"/>
    <tableColumn id="2" xr3:uid="{7CCC04B9-FC0A-427D-8AFC-BDAEC6018825}" name="CAPITAL INVERSIONISTAS" dataDxfId="51">
      <calculatedColumnFormula>IFERROR(VLOOKUP(reportes[[#This Row],[DESCRIPCIÓN]],tabla_importaciones[],MATCH("CAPITAL",tabla_importaciones[#Headers],0),FALSE), " - ")</calculatedColumnFormula>
    </tableColumn>
    <tableColumn id="3" xr3:uid="{DBFF63B2-0875-4CF0-A438-56D4B9A68B70}" name="COMPRA PRODUCTOS" dataDxfId="50">
      <calculatedColumnFormula>IFERROR(VLOOKUP(reportes[[#This Row],[DESCRIPCIÓN]],tabla_productos[],MATCH("MONTO_GASTADO",tabla_productos[#Headers],0),FALSE), " - ")</calculatedColumnFormula>
    </tableColumn>
    <tableColumn id="4" xr3:uid="{B8AF9C7F-ACC2-4F39-9A2A-B6457EC9A1D9}" name="GASTOS ADMINISTRATIVOS" dataDxfId="49">
      <calculatedColumnFormula>SUMIF(gastos_administrativos[DESCRIPCIÓN], reportes[[#This Row],[DESCRIPCIÓN]], gastos_administrativos[TOTAL_GASTADO])</calculatedColumnFormula>
    </tableColumn>
    <tableColumn id="5" xr3:uid="{0F18F207-FFF6-4A18-88EE-F3478449ACA1}" name="VENTA PRODUCTOS" dataDxfId="48">
      <calculatedColumnFormula>SUMIF(venta_productos[DESCRIPCIÓN], reportes[[#This Row],[DESCRIPCIÓN]], venta_productos[TOTAL_VENTA])</calculatedColumnFormula>
    </tableColumn>
    <tableColumn id="6" xr3:uid="{E18F39F6-6BB1-4D1C-8A53-BAA581DCCCE9}" name="PAGO INVERSIONISTAS" dataDxfId="47">
      <calculatedColumnFormula>SUMIF(movimiento_inversion[DESCRIPCIÓN], reportes[[#This Row],[DESCRIPCIÓN]], movimiento_inversion[MONTO_TOTAL])</calculatedColumnFormula>
    </tableColumn>
    <tableColumn id="9" xr3:uid="{F7FD74F0-11C0-4747-90B9-D95D17034349}" name="JOVA_INVERSION" dataDxfId="46">
      <calculatedColumnFormula>SUMIFS(movimiento_inversion[MONTO_TOTAL], movimiento_inversion[CODIGO],1,movimiento_inversion[DESCRIPCIÓN],reportes[[#This Row],[DESCRIPCIÓN]])</calculatedColumnFormula>
    </tableColumn>
    <tableColumn id="12" xr3:uid="{5BD57E7B-4780-494A-BCC9-78D2553D3412}" name="TOTAL PAGO INVERSIONISTAS" dataDxfId="45">
      <calculatedColumnFormula>reportes[[#This Row],[PAGO INVERSIONISTAS]]-reportes[[#This Row],[JOVA_INVERSION]]</calculatedColumnFormula>
    </tableColumn>
    <tableColumn id="7" xr3:uid="{7A7FA87E-432E-4150-8499-EB0EB5D6120E}" name="TOTAL" dataDxfId="44">
      <calculatedColumnFormula>IFERROR(reportes[[#This Row],[CAPITAL INVERSIONISTAS]]-reportes[[#This Row],[GASTOS ADMINISTRATIVOS]]+reportes[[#This Row],[VENTA PRODUCTOS]]-reportes[[#This Row],[PAGO INVERSIONISTAS]]+reportes[[#This Row],[JOVA_INVERSION]],0)</calculatedColumnFormula>
    </tableColumn>
    <tableColumn id="13" xr3:uid="{BA7B2B56-0ABE-4840-8412-19402EBAD58D}" name="GANANCIA_JOVA" dataDxfId="43">
      <calculatedColumnFormula>IFERROR(reportes[[#This Row],[TOTAL]]-reportes[[#This Row],[JOVA_INVERSION]],0)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9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57A70-EA39-4B72-AE65-B47ADBE43B83}">
  <sheetPr codeName="Hoja5"/>
  <dimension ref="A3"/>
  <sheetViews>
    <sheetView showGridLines="0" tabSelected="1" workbookViewId="0">
      <selection activeCell="Q31" sqref="Q31"/>
    </sheetView>
  </sheetViews>
  <sheetFormatPr baseColWidth="10" defaultRowHeight="15" x14ac:dyDescent="0.25"/>
  <sheetData>
    <row r="3" ht="10.5" customHeigh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2:I17"/>
  <sheetViews>
    <sheetView showGridLines="0" zoomScaleNormal="100" workbookViewId="0">
      <selection activeCell="E27" sqref="E27"/>
    </sheetView>
  </sheetViews>
  <sheetFormatPr baseColWidth="10" defaultColWidth="9.140625" defaultRowHeight="15" x14ac:dyDescent="0.25"/>
  <cols>
    <col min="1" max="1" width="13.42578125" customWidth="1"/>
    <col min="2" max="2" width="17.42578125" customWidth="1"/>
    <col min="3" max="3" width="22.5703125" customWidth="1"/>
    <col min="4" max="4" width="19.7109375" customWidth="1"/>
    <col min="5" max="5" width="23" customWidth="1"/>
    <col min="6" max="6" width="21.7109375" customWidth="1"/>
    <col min="7" max="7" width="37.28515625" customWidth="1"/>
    <col min="8" max="8" width="19.42578125" customWidth="1"/>
    <col min="9" max="9" width="34.85546875" customWidth="1"/>
  </cols>
  <sheetData>
    <row r="12" spans="1:9" x14ac:dyDescent="0.25">
      <c r="A12" s="5" t="s">
        <v>0</v>
      </c>
      <c r="B12" s="33" t="s">
        <v>115</v>
      </c>
      <c r="C12" s="33" t="s">
        <v>116</v>
      </c>
      <c r="D12" s="6" t="s">
        <v>9</v>
      </c>
      <c r="E12" s="6" t="s">
        <v>4</v>
      </c>
      <c r="F12" s="6" t="s">
        <v>10</v>
      </c>
      <c r="G12" s="6" t="s">
        <v>21</v>
      </c>
      <c r="H12" s="6" t="s">
        <v>2</v>
      </c>
      <c r="I12" s="7" t="s">
        <v>8</v>
      </c>
    </row>
    <row r="13" spans="1:9" x14ac:dyDescent="0.25">
      <c r="A13" s="33">
        <v>4</v>
      </c>
      <c r="B13" s="33"/>
      <c r="C13" s="33"/>
      <c r="D13" s="34" t="s">
        <v>129</v>
      </c>
      <c r="E13" s="6"/>
      <c r="F13" s="6"/>
      <c r="G13" s="6"/>
      <c r="H13" s="6"/>
      <c r="I13" s="7"/>
    </row>
    <row r="14" spans="1:9" x14ac:dyDescent="0.25">
      <c r="A14" s="8">
        <v>3</v>
      </c>
      <c r="B14" s="8"/>
      <c r="C14" s="8"/>
      <c r="D14" s="9" t="s">
        <v>128</v>
      </c>
      <c r="E14" s="9"/>
      <c r="F14" s="9"/>
      <c r="G14" s="9"/>
      <c r="H14" s="9"/>
      <c r="I14" s="15"/>
    </row>
    <row r="15" spans="1:9" x14ac:dyDescent="0.25">
      <c r="A15" s="8">
        <v>2</v>
      </c>
      <c r="B15" s="8"/>
      <c r="C15" s="8"/>
      <c r="D15" s="9" t="s">
        <v>127</v>
      </c>
      <c r="E15" s="9"/>
      <c r="F15" s="9"/>
      <c r="G15" s="9"/>
      <c r="H15" s="9"/>
      <c r="I15" s="15"/>
    </row>
    <row r="16" spans="1:9" x14ac:dyDescent="0.25">
      <c r="A16" s="8">
        <v>1</v>
      </c>
      <c r="B16" s="8"/>
      <c r="C16" s="8"/>
      <c r="D16" s="9" t="s">
        <v>126</v>
      </c>
      <c r="E16" s="9" t="s">
        <v>19</v>
      </c>
      <c r="F16" s="9" t="s">
        <v>20</v>
      </c>
      <c r="G16" s="9" t="s">
        <v>81</v>
      </c>
      <c r="H16" s="9"/>
      <c r="I16" s="10"/>
    </row>
    <row r="17" spans="1:9" x14ac:dyDescent="0.25">
      <c r="A17" s="11"/>
      <c r="B17" s="11"/>
      <c r="C17" s="11"/>
      <c r="D17" s="12"/>
      <c r="E17" s="12"/>
      <c r="F17" s="12"/>
      <c r="G17" s="12"/>
      <c r="H17" s="12"/>
      <c r="I17" s="13"/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9:M20"/>
  <sheetViews>
    <sheetView showGridLines="0" workbookViewId="0">
      <selection activeCell="D25" sqref="D25"/>
    </sheetView>
  </sheetViews>
  <sheetFormatPr baseColWidth="10" defaultRowHeight="15" x14ac:dyDescent="0.25"/>
  <cols>
    <col min="2" max="2" width="33.42578125" customWidth="1"/>
    <col min="3" max="3" width="21" customWidth="1"/>
    <col min="4" max="4" width="20.42578125" customWidth="1"/>
    <col min="5" max="6" width="23.85546875" customWidth="1"/>
    <col min="7" max="7" width="19.5703125" customWidth="1"/>
    <col min="10" max="10" width="26.42578125" customWidth="1"/>
  </cols>
  <sheetData>
    <row r="9" spans="2:13" x14ac:dyDescent="0.25">
      <c r="I9" s="19"/>
      <c r="J9" s="19"/>
      <c r="K9" s="19"/>
      <c r="L9" s="19"/>
      <c r="M9" s="19"/>
    </row>
    <row r="10" spans="2:13" x14ac:dyDescent="0.25">
      <c r="I10" s="19"/>
      <c r="J10" s="19"/>
      <c r="K10" s="19"/>
      <c r="L10" s="19"/>
      <c r="M10" s="19"/>
    </row>
    <row r="11" spans="2:13" x14ac:dyDescent="0.25">
      <c r="I11" s="19"/>
      <c r="J11" s="19"/>
      <c r="K11" s="19"/>
      <c r="L11" s="19"/>
      <c r="M11" s="19"/>
    </row>
    <row r="12" spans="2:13" x14ac:dyDescent="0.25">
      <c r="B12" s="1" t="s">
        <v>3</v>
      </c>
      <c r="C12" s="1" t="s">
        <v>23</v>
      </c>
      <c r="D12" s="1" t="s">
        <v>22</v>
      </c>
      <c r="E12" s="14" t="s">
        <v>26</v>
      </c>
      <c r="F12" s="26" t="s">
        <v>55</v>
      </c>
      <c r="G12" s="1" t="s">
        <v>7</v>
      </c>
      <c r="I12" s="19"/>
      <c r="J12" s="19"/>
      <c r="K12" s="19"/>
      <c r="L12" s="19"/>
      <c r="M12" s="19"/>
    </row>
    <row r="13" spans="2:13" x14ac:dyDescent="0.25">
      <c r="B13" s="4" t="s">
        <v>121</v>
      </c>
      <c r="C13" s="40" t="s">
        <v>117</v>
      </c>
      <c r="D13" s="19"/>
      <c r="E13" s="46">
        <f>SUMIF(movimiento_inversion[DESCRIPCIÓN], tabla_importaciones[[#This Row],[DESCRIPCIÓN]], movimiento_inversion[MONTO_INVERTIDO ])</f>
        <v>0</v>
      </c>
      <c r="F13" s="4">
        <v>3.8</v>
      </c>
      <c r="G13" s="3" t="s">
        <v>118</v>
      </c>
      <c r="I13" s="19"/>
      <c r="J13" s="19"/>
      <c r="K13" s="19"/>
      <c r="L13" s="19"/>
      <c r="M13" s="19"/>
    </row>
    <row r="14" spans="2:13" x14ac:dyDescent="0.25">
      <c r="B14" s="4" t="s">
        <v>120</v>
      </c>
      <c r="C14" s="40" t="s">
        <v>117</v>
      </c>
      <c r="D14" s="19"/>
      <c r="E14" s="46">
        <f>SUMIF(movimiento_inversion[DESCRIPCIÓN], tabla_importaciones[[#This Row],[DESCRIPCIÓN]], movimiento_inversion[MONTO_INVERTIDO ])</f>
        <v>0</v>
      </c>
      <c r="F14" s="4">
        <v>3.5</v>
      </c>
      <c r="G14" s="3" t="s">
        <v>119</v>
      </c>
    </row>
    <row r="15" spans="2:13" x14ac:dyDescent="0.25">
      <c r="B15" s="4" t="s">
        <v>39</v>
      </c>
      <c r="C15" s="4" t="s">
        <v>24</v>
      </c>
      <c r="D15" s="19"/>
      <c r="E15" s="4">
        <f>SUMIF(movimiento_inversion[DESCRIPCIÓN], tabla_importaciones[[#This Row],[DESCRIPCIÓN]], movimiento_inversion[MONTO_INVERTIDO ])</f>
        <v>21541</v>
      </c>
      <c r="F15" s="4">
        <v>3.7</v>
      </c>
      <c r="G15" s="3"/>
    </row>
    <row r="16" spans="2:13" x14ac:dyDescent="0.25">
      <c r="B16" s="3"/>
      <c r="C16" s="3"/>
      <c r="D16" s="19"/>
      <c r="E16" s="4">
        <f>SUMIF(movimiento_inversion[DESCRIPCIÓN], tabla_importaciones[[#This Row],[DESCRIPCIÓN]], movimiento_inversion[MONTO_INVERTIDO ])</f>
        <v>0</v>
      </c>
      <c r="F16" s="4"/>
      <c r="G16" s="3"/>
    </row>
    <row r="17" spans="2:7" x14ac:dyDescent="0.25">
      <c r="B17" s="3"/>
      <c r="C17" s="3"/>
      <c r="D17" s="3"/>
      <c r="E17" s="3"/>
      <c r="F17" s="3"/>
      <c r="G17" s="3"/>
    </row>
    <row r="18" spans="2:7" x14ac:dyDescent="0.25">
      <c r="B18" s="3"/>
      <c r="C18" s="3"/>
      <c r="D18" s="3"/>
      <c r="E18" s="3"/>
      <c r="F18" s="3"/>
      <c r="G18" s="3"/>
    </row>
    <row r="19" spans="2:7" x14ac:dyDescent="0.25">
      <c r="B19" s="3"/>
      <c r="C19" s="3"/>
      <c r="D19" s="3"/>
      <c r="E19" s="3"/>
      <c r="F19" s="3"/>
      <c r="G19" s="3"/>
    </row>
    <row r="20" spans="2:7" x14ac:dyDescent="0.25">
      <c r="B20" s="3"/>
      <c r="C20" s="3"/>
      <c r="D20" s="3"/>
      <c r="E20" s="3"/>
      <c r="F20" s="3"/>
      <c r="G20" s="3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2:N42"/>
  <sheetViews>
    <sheetView showGridLines="0" zoomScaleNormal="100" workbookViewId="0">
      <selection activeCell="D24" sqref="D24"/>
    </sheetView>
  </sheetViews>
  <sheetFormatPr baseColWidth="10" defaultRowHeight="15" x14ac:dyDescent="0.25"/>
  <cols>
    <col min="1" max="1" width="16.7109375" customWidth="1"/>
    <col min="2" max="2" width="14.5703125" customWidth="1"/>
    <col min="3" max="3" width="29.28515625" customWidth="1"/>
    <col min="4" max="4" width="20.42578125" customWidth="1"/>
    <col min="5" max="5" width="21.28515625" customWidth="1"/>
    <col min="6" max="6" width="20.42578125" customWidth="1"/>
    <col min="7" max="7" width="22.140625" customWidth="1"/>
    <col min="8" max="8" width="17.42578125" customWidth="1"/>
    <col min="9" max="9" width="26" customWidth="1"/>
    <col min="10" max="10" width="33.28515625" customWidth="1"/>
    <col min="11" max="11" width="13.28515625" customWidth="1"/>
    <col min="12" max="12" width="19.5703125" customWidth="1"/>
    <col min="13" max="13" width="23.140625" customWidth="1"/>
    <col min="14" max="14" width="20.7109375" customWidth="1"/>
  </cols>
  <sheetData>
    <row r="12" spans="1:14" x14ac:dyDescent="0.25">
      <c r="A12" s="59" t="s">
        <v>17</v>
      </c>
      <c r="B12" s="20" t="s">
        <v>0</v>
      </c>
      <c r="C12" s="20" t="s">
        <v>3</v>
      </c>
      <c r="D12" s="60" t="s">
        <v>1</v>
      </c>
      <c r="E12" s="60" t="s">
        <v>4</v>
      </c>
      <c r="F12" s="60" t="s">
        <v>10</v>
      </c>
      <c r="G12" s="60" t="s">
        <v>25</v>
      </c>
      <c r="H12" s="60" t="s">
        <v>5</v>
      </c>
      <c r="I12" s="60" t="s">
        <v>6</v>
      </c>
      <c r="J12" s="60" t="s">
        <v>16</v>
      </c>
      <c r="K12" s="60" t="s">
        <v>18</v>
      </c>
      <c r="L12" s="60" t="s">
        <v>7</v>
      </c>
      <c r="M12" s="60" t="s">
        <v>122</v>
      </c>
      <c r="N12" s="60" t="s">
        <v>123</v>
      </c>
    </row>
    <row r="13" spans="1:14" x14ac:dyDescent="0.25">
      <c r="A13" s="59"/>
      <c r="B13" s="20">
        <v>4</v>
      </c>
      <c r="C13" s="20" t="s">
        <v>39</v>
      </c>
      <c r="D13" s="60" t="s">
        <v>129</v>
      </c>
      <c r="E13" s="60"/>
      <c r="F13" s="60"/>
      <c r="G13" s="60">
        <v>6000</v>
      </c>
      <c r="H13" s="60">
        <v>50</v>
      </c>
      <c r="I13" s="60">
        <f>movimiento_inversion[[#This Row],[MONTO_INVERTIDO ]]+movimiento_inversion[[#This Row],[MONTO_INVERTIDO ]]*(movimiento_inversion[[#This Row],[GANANCIA]]/100)</f>
        <v>9000</v>
      </c>
      <c r="J13" s="60"/>
      <c r="K13" s="60"/>
      <c r="L13" s="60" t="s">
        <v>54</v>
      </c>
      <c r="M13" s="60"/>
      <c r="N13" s="60"/>
    </row>
    <row r="14" spans="1:14" x14ac:dyDescent="0.25">
      <c r="A14" s="59"/>
      <c r="B14" s="20">
        <v>3</v>
      </c>
      <c r="C14" s="20" t="s">
        <v>39</v>
      </c>
      <c r="D14" s="60" t="s">
        <v>128</v>
      </c>
      <c r="E14" s="60"/>
      <c r="F14" s="60"/>
      <c r="G14" s="60">
        <v>2000</v>
      </c>
      <c r="H14" s="60">
        <v>50</v>
      </c>
      <c r="I14" s="60">
        <f>movimiento_inversion[[#This Row],[MONTO_INVERTIDO ]]+movimiento_inversion[[#This Row],[MONTO_INVERTIDO ]]*(movimiento_inversion[[#This Row],[GANANCIA]]/100)</f>
        <v>3000</v>
      </c>
      <c r="J14" s="60"/>
      <c r="K14" s="60"/>
      <c r="L14" s="60" t="s">
        <v>54</v>
      </c>
      <c r="M14" s="60"/>
      <c r="N14" s="60"/>
    </row>
    <row r="15" spans="1:14" x14ac:dyDescent="0.25">
      <c r="A15" s="59"/>
      <c r="B15" s="20">
        <v>2</v>
      </c>
      <c r="C15" s="20" t="s">
        <v>39</v>
      </c>
      <c r="D15" s="60" t="s">
        <v>127</v>
      </c>
      <c r="E15" s="60"/>
      <c r="F15" s="60"/>
      <c r="G15" s="60">
        <v>5000</v>
      </c>
      <c r="H15" s="60">
        <v>35</v>
      </c>
      <c r="I15" s="60">
        <f>movimiento_inversion[[#This Row],[MONTO_INVERTIDO ]]+movimiento_inversion[[#This Row],[MONTO_INVERTIDO ]]*(movimiento_inversion[[#This Row],[GANANCIA]]/100)</f>
        <v>6750</v>
      </c>
      <c r="J15" s="60"/>
      <c r="K15" s="60"/>
      <c r="L15" s="60" t="s">
        <v>54</v>
      </c>
      <c r="M15" s="60"/>
      <c r="N15" s="60"/>
    </row>
    <row r="16" spans="1:14" x14ac:dyDescent="0.25">
      <c r="A16" s="59"/>
      <c r="B16" s="20">
        <v>1</v>
      </c>
      <c r="C16" s="20" t="s">
        <v>39</v>
      </c>
      <c r="D16" s="60" t="s">
        <v>126</v>
      </c>
      <c r="E16" s="60" t="s">
        <v>19</v>
      </c>
      <c r="F16" s="60" t="s">
        <v>20</v>
      </c>
      <c r="G16" s="60">
        <v>8541</v>
      </c>
      <c r="H16" s="60">
        <v>0</v>
      </c>
      <c r="I16" s="60">
        <f>movimiento_inversion[[#This Row],[MONTO_INVERTIDO ]]+movimiento_inversion[[#This Row],[MONTO_INVERTIDO ]]*(movimiento_inversion[[#This Row],[GANANCIA]]/100)</f>
        <v>8541</v>
      </c>
      <c r="J16" s="60" t="s">
        <v>53</v>
      </c>
      <c r="K16" s="60"/>
      <c r="L16" s="60"/>
      <c r="M16" s="60"/>
      <c r="N16" s="60"/>
    </row>
    <row r="17" spans="1:14" x14ac:dyDescent="0.25">
      <c r="A17" s="59"/>
      <c r="B17" s="20"/>
      <c r="C17" s="20"/>
      <c r="D17" s="61"/>
      <c r="E17" s="61"/>
      <c r="F17" s="61"/>
      <c r="G17" s="60"/>
      <c r="H17" s="60"/>
      <c r="I17" s="60">
        <f>movimiento_inversion[[#This Row],[MONTO_INVERTIDO ]]+movimiento_inversion[[#This Row],[MONTO_INVERTIDO ]]*(movimiento_inversion[[#This Row],[GANANCIA]]/100)</f>
        <v>0</v>
      </c>
      <c r="J17" s="60"/>
      <c r="K17" s="60"/>
      <c r="L17" s="60"/>
      <c r="M17" s="60"/>
      <c r="N17" s="60"/>
    </row>
    <row r="18" spans="1:14" x14ac:dyDescent="0.25">
      <c r="B18" s="3"/>
      <c r="C18" s="3"/>
      <c r="D18" s="3"/>
      <c r="E18" s="3"/>
      <c r="F18" s="3"/>
    </row>
    <row r="19" spans="1:14" x14ac:dyDescent="0.25">
      <c r="B19" s="3"/>
      <c r="C19" s="3"/>
      <c r="D19" s="3"/>
      <c r="E19" s="3"/>
      <c r="F19" s="3"/>
      <c r="I19" s="4"/>
    </row>
    <row r="20" spans="1:14" x14ac:dyDescent="0.25">
      <c r="B20" s="2"/>
      <c r="C20" s="2"/>
      <c r="D20" s="3"/>
      <c r="E20" s="3" t="s">
        <v>52</v>
      </c>
      <c r="F20" s="3"/>
      <c r="G20" s="3"/>
    </row>
    <row r="21" spans="1:14" x14ac:dyDescent="0.25">
      <c r="B21" s="2"/>
      <c r="C21" s="2"/>
      <c r="D21" s="3"/>
      <c r="G21" s="3"/>
      <c r="I21" s="4">
        <f>SUM(G13:G16)</f>
        <v>21541</v>
      </c>
    </row>
    <row r="22" spans="1:14" x14ac:dyDescent="0.25">
      <c r="B22" s="2"/>
      <c r="C22" s="2"/>
      <c r="D22" s="3"/>
      <c r="G22" s="3"/>
    </row>
    <row r="32" spans="1:14" x14ac:dyDescent="0.25">
      <c r="K32" s="47"/>
      <c r="L32" s="47"/>
    </row>
    <row r="33" spans="11:12" x14ac:dyDescent="0.25">
      <c r="K33" s="47"/>
      <c r="L33" s="47"/>
    </row>
    <row r="34" spans="11:12" x14ac:dyDescent="0.25">
      <c r="K34" s="47"/>
      <c r="L34" s="47"/>
    </row>
    <row r="35" spans="11:12" x14ac:dyDescent="0.25">
      <c r="K35" s="47"/>
      <c r="L35" s="47"/>
    </row>
    <row r="36" spans="11:12" x14ac:dyDescent="0.25">
      <c r="K36" s="47"/>
      <c r="L36" s="47"/>
    </row>
    <row r="37" spans="11:12" x14ac:dyDescent="0.25">
      <c r="K37" s="47"/>
      <c r="L37" s="47"/>
    </row>
    <row r="38" spans="11:12" x14ac:dyDescent="0.25">
      <c r="K38" s="48"/>
      <c r="L38" s="48"/>
    </row>
    <row r="41" spans="11:12" x14ac:dyDescent="0.25">
      <c r="K41" s="47"/>
      <c r="L41" s="47"/>
    </row>
    <row r="42" spans="11:12" x14ac:dyDescent="0.25">
      <c r="K42" s="48"/>
      <c r="L42" s="48"/>
    </row>
  </sheetData>
  <dataConsolidate/>
  <mergeCells count="9">
    <mergeCell ref="K41:L41"/>
    <mergeCell ref="K42:L42"/>
    <mergeCell ref="K32:L32"/>
    <mergeCell ref="K33:L33"/>
    <mergeCell ref="K34:L34"/>
    <mergeCell ref="K36:L36"/>
    <mergeCell ref="K37:L37"/>
    <mergeCell ref="K35:L35"/>
    <mergeCell ref="K38:L38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0:M24"/>
  <sheetViews>
    <sheetView showGridLines="0" workbookViewId="0">
      <selection activeCell="C22" sqref="C22"/>
    </sheetView>
  </sheetViews>
  <sheetFormatPr baseColWidth="10" defaultRowHeight="15" x14ac:dyDescent="0.25"/>
  <cols>
    <col min="1" max="1" width="25" customWidth="1"/>
    <col min="2" max="2" width="19.28515625" customWidth="1"/>
    <col min="3" max="3" width="37.85546875" customWidth="1"/>
    <col min="4" max="4" width="22.7109375" customWidth="1"/>
    <col min="5" max="5" width="24.5703125" customWidth="1"/>
    <col min="6" max="6" width="18.28515625" customWidth="1"/>
    <col min="7" max="7" width="20.7109375" customWidth="1"/>
    <col min="8" max="8" width="20.85546875" customWidth="1"/>
    <col min="9" max="9" width="19.140625" customWidth="1"/>
    <col min="10" max="10" width="21.42578125" customWidth="1"/>
  </cols>
  <sheetData>
    <row r="10" spans="1:10" ht="20.25" customHeight="1" x14ac:dyDescent="0.25"/>
    <row r="12" spans="1:10" x14ac:dyDescent="0.25">
      <c r="A12" s="4" t="s">
        <v>3</v>
      </c>
      <c r="B12" s="4" t="s">
        <v>0</v>
      </c>
      <c r="C12" s="4" t="s">
        <v>27</v>
      </c>
      <c r="D12" s="4" t="s">
        <v>98</v>
      </c>
      <c r="E12" s="4" t="s">
        <v>12</v>
      </c>
      <c r="F12" s="4" t="s">
        <v>99</v>
      </c>
      <c r="G12" s="4" t="s">
        <v>14</v>
      </c>
      <c r="H12" s="4" t="s">
        <v>15</v>
      </c>
      <c r="I12" s="4" t="s">
        <v>13</v>
      </c>
      <c r="J12" s="4" t="s">
        <v>46</v>
      </c>
    </row>
    <row r="13" spans="1:10" x14ac:dyDescent="0.25">
      <c r="A13" s="4" t="s">
        <v>120</v>
      </c>
      <c r="B13" s="4">
        <v>2</v>
      </c>
      <c r="C13" s="4" t="s">
        <v>130</v>
      </c>
      <c r="D13" s="4">
        <v>50</v>
      </c>
      <c r="E13" s="46">
        <f>IFERROR(tabla_productos[[#This Row],[PRECIO_UNITARIO]]*(VLOOKUP(tabla_productos[[#This Row],[DESCRIPCIÓN]],tabla_importaciones[],5,FALSE)),0)</f>
        <v>175</v>
      </c>
      <c r="F13" s="46">
        <v>245</v>
      </c>
      <c r="G13" s="4">
        <v>150</v>
      </c>
      <c r="H13" s="46">
        <f>SUMIFS(venta_productos[CANTIDAD],venta_productos[CODIGO],tabla_productos[[#This Row],[CODIGO]], venta_productos[ESTADO],"CANCELADO")</f>
        <v>0</v>
      </c>
      <c r="I13" s="46">
        <f>tabla_productos[[#This Row],[ENTRADAS]]-tabla_productos[[#This Row],[SALIDAS]]</f>
        <v>150</v>
      </c>
      <c r="J13" s="46">
        <f>tabla_productos[[#This Row],[PRECIO COMPRA]]*tabla_productos[[#This Row],[ENTRADAS]]</f>
        <v>26250</v>
      </c>
    </row>
    <row r="14" spans="1:10" x14ac:dyDescent="0.25">
      <c r="A14" s="4" t="s">
        <v>39</v>
      </c>
      <c r="B14" s="39">
        <v>1</v>
      </c>
      <c r="C14" s="4" t="s">
        <v>131</v>
      </c>
      <c r="D14" s="4">
        <v>34.5</v>
      </c>
      <c r="E14" s="4">
        <f>IFERROR(tabla_productos[[#This Row],[PRECIO_UNITARIO]]*(VLOOKUP(tabla_productos[[#This Row],[DESCRIPCIÓN]],tabla_importaciones[],5,FALSE)),0)</f>
        <v>127.65</v>
      </c>
      <c r="F14" s="4">
        <v>312</v>
      </c>
      <c r="G14" s="4">
        <v>100</v>
      </c>
      <c r="H14" s="4">
        <f>SUMIFS(venta_productos[CANTIDAD],venta_productos[CODIGO],tabla_productos[[#This Row],[CODIGO]], venta_productos[ESTADO],"CANCELADO")</f>
        <v>7</v>
      </c>
      <c r="I14" s="29">
        <f>tabla_productos[[#This Row],[ENTRADAS]]-tabla_productos[[#This Row],[SALIDAS]]</f>
        <v>93</v>
      </c>
      <c r="J14" s="4">
        <f>tabla_productos[[#This Row],[PRECIO COMPRA]]*tabla_productos[[#This Row],[ENTRADAS]]</f>
        <v>12765</v>
      </c>
    </row>
    <row r="15" spans="1:10" x14ac:dyDescent="0.25">
      <c r="E15" s="4">
        <f>IFERROR(tabla_productos[[#This Row],[PRECIO_UNITARIO]]*(VLOOKUP(tabla_productos[[#This Row],[DESCRIPCIÓN]],tabla_importaciones[],5,FALSE)),0)</f>
        <v>0</v>
      </c>
      <c r="F15" s="4">
        <f>0</f>
        <v>0</v>
      </c>
      <c r="H15">
        <f>SUMIFS(venta_productos[CANTIDAD],venta_productos[CODIGO],tabla_productos[[#This Row],[CODIGO]], venta_productos[ESTADO],"CANCELADO")</f>
        <v>0</v>
      </c>
      <c r="I15">
        <f>tabla_productos[[#This Row],[ENTRADAS]]-tabla_productos[[#This Row],[SALIDAS]]</f>
        <v>0</v>
      </c>
      <c r="J15">
        <f>tabla_productos[[#This Row],[PRECIO COMPRA]]*tabla_productos[[#This Row],[ENTRADAS]]</f>
        <v>0</v>
      </c>
    </row>
    <row r="23" spans="8:13" x14ac:dyDescent="0.25">
      <c r="H23" s="27"/>
      <c r="I23" s="27"/>
      <c r="J23" s="27"/>
    </row>
    <row r="24" spans="8:13" x14ac:dyDescent="0.25">
      <c r="K24" s="27"/>
      <c r="L24" s="27"/>
      <c r="M24" s="27"/>
    </row>
  </sheetData>
  <pageMargins left="0.7" right="0.7" top="0.75" bottom="0.75" header="0.3" footer="0.3"/>
  <pageSetup orientation="portrait" horizontalDpi="360" verticalDpi="360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989C4-5928-462C-9E4F-A85112DC40F9}">
  <sheetPr codeName="Hoja6"/>
  <dimension ref="A9:S28"/>
  <sheetViews>
    <sheetView showGridLines="0" workbookViewId="0">
      <selection activeCell="C27" sqref="C27"/>
    </sheetView>
  </sheetViews>
  <sheetFormatPr baseColWidth="10" defaultRowHeight="15" x14ac:dyDescent="0.25"/>
  <cols>
    <col min="1" max="1" width="25.7109375" customWidth="1"/>
    <col min="2" max="2" width="18.5703125" customWidth="1"/>
    <col min="3" max="3" width="23.28515625" customWidth="1"/>
    <col min="4" max="4" width="10.85546875" customWidth="1"/>
    <col min="5" max="5" width="28.85546875" customWidth="1"/>
    <col min="6" max="6" width="12.140625" customWidth="1"/>
    <col min="7" max="7" width="19" customWidth="1"/>
    <col min="8" max="8" width="16.140625" customWidth="1"/>
    <col min="9" max="9" width="33.140625" customWidth="1"/>
    <col min="10" max="10" width="19" customWidth="1"/>
    <col min="11" max="12" width="15" customWidth="1"/>
    <col min="13" max="13" width="35.5703125" customWidth="1"/>
    <col min="14" max="14" width="21.5703125" customWidth="1"/>
    <col min="15" max="16" width="25" customWidth="1"/>
    <col min="17" max="18" width="22.42578125" customWidth="1"/>
    <col min="19" max="19" width="16.85546875" customWidth="1"/>
  </cols>
  <sheetData>
    <row r="9" spans="1:19" ht="21" customHeight="1" x14ac:dyDescent="0.25"/>
    <row r="12" spans="1:19" s="37" customFormat="1" x14ac:dyDescent="0.25">
      <c r="A12" s="22" t="s">
        <v>3</v>
      </c>
      <c r="B12" s="56" t="s">
        <v>17</v>
      </c>
      <c r="C12" s="23" t="s">
        <v>69</v>
      </c>
      <c r="D12" s="57" t="s">
        <v>0</v>
      </c>
      <c r="E12" s="22" t="s">
        <v>28</v>
      </c>
      <c r="F12" s="22" t="s">
        <v>30</v>
      </c>
      <c r="G12" s="37" t="s">
        <v>56</v>
      </c>
      <c r="H12" s="22" t="s">
        <v>29</v>
      </c>
      <c r="I12" s="22" t="s">
        <v>34</v>
      </c>
      <c r="J12" s="22" t="s">
        <v>31</v>
      </c>
      <c r="K12" s="22" t="s">
        <v>33</v>
      </c>
      <c r="L12" s="22" t="s">
        <v>115</v>
      </c>
      <c r="M12" s="58" t="s">
        <v>1</v>
      </c>
      <c r="N12" s="58" t="s">
        <v>4</v>
      </c>
      <c r="O12" s="58" t="s">
        <v>10</v>
      </c>
      <c r="P12" s="51" t="s">
        <v>78</v>
      </c>
      <c r="Q12" s="51" t="s">
        <v>7</v>
      </c>
      <c r="R12" s="51" t="s">
        <v>82</v>
      </c>
      <c r="S12" s="22" t="s">
        <v>32</v>
      </c>
    </row>
    <row r="13" spans="1:19" s="37" customFormat="1" x14ac:dyDescent="0.25">
      <c r="A13" s="50" t="s">
        <v>39</v>
      </c>
      <c r="B13" s="24">
        <v>44174</v>
      </c>
      <c r="C13" s="23" t="s">
        <v>107</v>
      </c>
      <c r="D13" s="23">
        <v>1</v>
      </c>
      <c r="E13" s="22" t="s">
        <v>131</v>
      </c>
      <c r="F13" s="22">
        <v>1</v>
      </c>
      <c r="G13" s="37">
        <v>300</v>
      </c>
      <c r="H13" s="22">
        <v>0</v>
      </c>
      <c r="I13" s="37">
        <f>venta_productos[[#This Row],[PRECIO REGULAR]]-venta_productos[[#This Row],[DESCUENTO]]</f>
        <v>300</v>
      </c>
      <c r="J13" s="22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300</v>
      </c>
      <c r="K13" s="22">
        <v>8</v>
      </c>
      <c r="L13" s="22"/>
      <c r="M13" s="51" t="s">
        <v>108</v>
      </c>
      <c r="N13" s="51" t="s">
        <v>109</v>
      </c>
      <c r="O13" s="51" t="s">
        <v>110</v>
      </c>
      <c r="P13" s="51" t="s">
        <v>111</v>
      </c>
      <c r="Q13" s="51" t="s">
        <v>62</v>
      </c>
      <c r="R13" s="51"/>
      <c r="S13" s="22"/>
    </row>
    <row r="14" spans="1:19" s="37" customFormat="1" x14ac:dyDescent="0.25">
      <c r="A14" s="50" t="s">
        <v>39</v>
      </c>
      <c r="B14" s="24">
        <v>44173</v>
      </c>
      <c r="C14" s="23" t="s">
        <v>105</v>
      </c>
      <c r="D14" s="23">
        <v>1</v>
      </c>
      <c r="E14" s="22" t="s">
        <v>131</v>
      </c>
      <c r="F14" s="22">
        <v>1</v>
      </c>
      <c r="G14" s="37">
        <v>300</v>
      </c>
      <c r="H14" s="22">
        <v>0</v>
      </c>
      <c r="I14" s="37">
        <f>venta_productos[[#This Row],[PRECIO REGULAR]]-venta_productos[[#This Row],[DESCUENTO]]</f>
        <v>300</v>
      </c>
      <c r="J14" s="22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287.79000000000002</v>
      </c>
      <c r="K14" s="22">
        <v>7</v>
      </c>
      <c r="L14" s="22"/>
      <c r="M14" s="52" t="s">
        <v>106</v>
      </c>
      <c r="N14" s="51"/>
      <c r="O14" s="51"/>
      <c r="P14" s="51" t="s">
        <v>80</v>
      </c>
      <c r="Q14" s="51" t="s">
        <v>62</v>
      </c>
      <c r="R14" s="51"/>
      <c r="S14" s="22"/>
    </row>
    <row r="15" spans="1:19" s="37" customFormat="1" x14ac:dyDescent="0.25">
      <c r="A15" s="50" t="s">
        <v>39</v>
      </c>
      <c r="B15" s="24">
        <v>44173</v>
      </c>
      <c r="C15" s="23" t="s">
        <v>97</v>
      </c>
      <c r="D15" s="23">
        <v>1</v>
      </c>
      <c r="E15" s="22" t="s">
        <v>131</v>
      </c>
      <c r="F15" s="22">
        <v>1</v>
      </c>
      <c r="G15" s="37">
        <v>300</v>
      </c>
      <c r="H15" s="22">
        <v>0</v>
      </c>
      <c r="I15" s="37">
        <f>venta_productos[[#This Row],[PRECIO REGULAR]]-venta_productos[[#This Row],[DESCUENTO]]</f>
        <v>300</v>
      </c>
      <c r="J15" s="22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300</v>
      </c>
      <c r="K15" s="22">
        <v>6</v>
      </c>
      <c r="L15" s="22"/>
      <c r="M15" s="23" t="s">
        <v>93</v>
      </c>
      <c r="N15" s="23" t="s">
        <v>94</v>
      </c>
      <c r="O15" s="23" t="s">
        <v>95</v>
      </c>
      <c r="P15" s="23" t="s">
        <v>79</v>
      </c>
      <c r="Q15" s="23" t="s">
        <v>62</v>
      </c>
      <c r="R15" s="23"/>
      <c r="S15" s="22"/>
    </row>
    <row r="16" spans="1:19" s="37" customFormat="1" x14ac:dyDescent="0.25">
      <c r="A16" s="36" t="s">
        <v>39</v>
      </c>
      <c r="B16" s="24">
        <v>44171</v>
      </c>
      <c r="C16" s="24" t="s">
        <v>74</v>
      </c>
      <c r="D16" s="23">
        <v>1</v>
      </c>
      <c r="E16" s="37" t="s">
        <v>131</v>
      </c>
      <c r="F16" s="22">
        <v>1</v>
      </c>
      <c r="G16" s="37">
        <v>300</v>
      </c>
      <c r="H16" s="22">
        <v>0</v>
      </c>
      <c r="I16" s="37">
        <f>venta_productos[[#This Row],[PRECIO REGULAR]]-venta_productos[[#This Row],[DESCUENTO]]</f>
        <v>300</v>
      </c>
      <c r="J16" s="38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300</v>
      </c>
      <c r="K16" s="22">
        <v>5</v>
      </c>
      <c r="L16" s="22"/>
      <c r="M16" s="23" t="s">
        <v>75</v>
      </c>
      <c r="N16" s="23" t="s">
        <v>76</v>
      </c>
      <c r="O16" s="23" t="s">
        <v>77</v>
      </c>
      <c r="P16" s="23" t="s">
        <v>79</v>
      </c>
      <c r="Q16" s="23" t="s">
        <v>62</v>
      </c>
      <c r="R16" s="23"/>
      <c r="S16" s="22"/>
    </row>
    <row r="17" spans="1:19" s="37" customFormat="1" x14ac:dyDescent="0.25">
      <c r="A17" s="36" t="s">
        <v>39</v>
      </c>
      <c r="B17" s="24">
        <v>44171</v>
      </c>
      <c r="C17" s="24" t="s">
        <v>70</v>
      </c>
      <c r="D17" s="23">
        <v>1</v>
      </c>
      <c r="E17" s="37" t="s">
        <v>131</v>
      </c>
      <c r="F17" s="22">
        <v>1</v>
      </c>
      <c r="G17" s="37">
        <v>312</v>
      </c>
      <c r="H17" s="22">
        <v>0</v>
      </c>
      <c r="I17" s="37">
        <f>venta_productos[[#This Row],[PRECIO REGULAR]]-venta_productos[[#This Row],[DESCUENTO]]</f>
        <v>312</v>
      </c>
      <c r="J17" s="22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312</v>
      </c>
      <c r="K17" s="22">
        <v>4</v>
      </c>
      <c r="L17" s="22"/>
      <c r="M17" s="23" t="s">
        <v>71</v>
      </c>
      <c r="N17" s="23" t="s">
        <v>72</v>
      </c>
      <c r="O17" s="23" t="s">
        <v>73</v>
      </c>
      <c r="P17" s="23" t="s">
        <v>79</v>
      </c>
      <c r="Q17" s="23" t="s">
        <v>62</v>
      </c>
      <c r="R17" s="23"/>
      <c r="S17" s="22"/>
    </row>
    <row r="18" spans="1:19" s="37" customFormat="1" x14ac:dyDescent="0.25">
      <c r="A18" s="36" t="s">
        <v>39</v>
      </c>
      <c r="B18" s="24">
        <v>44171</v>
      </c>
      <c r="C18" s="24" t="s">
        <v>68</v>
      </c>
      <c r="D18" s="23">
        <v>1</v>
      </c>
      <c r="E18" s="37" t="s">
        <v>131</v>
      </c>
      <c r="F18" s="22">
        <v>1</v>
      </c>
      <c r="G18" s="22">
        <v>300</v>
      </c>
      <c r="H18" s="22">
        <v>0</v>
      </c>
      <c r="I18" s="37">
        <f>venta_productos[[#This Row],[PRECIO REGULAR]]-venta_productos[[#This Row],[DESCUENTO]]</f>
        <v>300</v>
      </c>
      <c r="J18" s="22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300</v>
      </c>
      <c r="K18" s="22">
        <v>3</v>
      </c>
      <c r="L18" s="22"/>
      <c r="M18" s="23" t="s">
        <v>65</v>
      </c>
      <c r="N18" s="23" t="s">
        <v>66</v>
      </c>
      <c r="O18" s="23" t="s">
        <v>67</v>
      </c>
      <c r="P18" s="23" t="s">
        <v>79</v>
      </c>
      <c r="Q18" s="23" t="s">
        <v>62</v>
      </c>
      <c r="R18" s="23"/>
      <c r="S18" s="22"/>
    </row>
    <row r="19" spans="1:19" s="36" customFormat="1" x14ac:dyDescent="0.25">
      <c r="A19" s="36" t="s">
        <v>39</v>
      </c>
      <c r="B19" s="53">
        <v>44171</v>
      </c>
      <c r="C19" s="38" t="s">
        <v>64</v>
      </c>
      <c r="D19" s="23">
        <v>1</v>
      </c>
      <c r="E19" s="37" t="s">
        <v>131</v>
      </c>
      <c r="F19" s="38">
        <v>1</v>
      </c>
      <c r="G19" s="37">
        <v>312</v>
      </c>
      <c r="H19" s="38">
        <v>0</v>
      </c>
      <c r="I19" s="37">
        <f>venta_productos[[#This Row],[PRECIO REGULAR]]-venta_productos[[#This Row],[DESCUENTO]]</f>
        <v>312</v>
      </c>
      <c r="J19" s="38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0</v>
      </c>
      <c r="K19" s="38">
        <v>2</v>
      </c>
      <c r="L19" s="38"/>
      <c r="M19" s="37" t="s">
        <v>61</v>
      </c>
      <c r="N19" s="37" t="s">
        <v>19</v>
      </c>
      <c r="O19" s="37" t="s">
        <v>20</v>
      </c>
      <c r="P19" s="37" t="s">
        <v>79</v>
      </c>
      <c r="Q19" s="37" t="s">
        <v>63</v>
      </c>
      <c r="R19" s="37"/>
    </row>
    <row r="20" spans="1:19" s="36" customFormat="1" x14ac:dyDescent="0.25">
      <c r="A20" s="36" t="s">
        <v>39</v>
      </c>
      <c r="B20" s="54">
        <v>44170</v>
      </c>
      <c r="C20" s="38" t="s">
        <v>57</v>
      </c>
      <c r="D20" s="23">
        <v>1</v>
      </c>
      <c r="E20" s="37" t="s">
        <v>131</v>
      </c>
      <c r="F20" s="37">
        <v>1</v>
      </c>
      <c r="G20" s="37">
        <v>312</v>
      </c>
      <c r="H20" s="37">
        <v>0</v>
      </c>
      <c r="I20" s="37">
        <f>venta_productos[[#This Row],[PRECIO REGULAR]]-venta_productos[[#This Row],[DESCUENTO]]</f>
        <v>312</v>
      </c>
      <c r="J20" s="37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299.30160000000001</v>
      </c>
      <c r="K20" s="37">
        <v>1</v>
      </c>
      <c r="L20" s="37"/>
      <c r="M20" s="37" t="s">
        <v>58</v>
      </c>
      <c r="N20" s="37" t="s">
        <v>59</v>
      </c>
      <c r="O20" s="37" t="s">
        <v>60</v>
      </c>
      <c r="P20" s="37" t="s">
        <v>80</v>
      </c>
      <c r="Q20" s="37" t="s">
        <v>62</v>
      </c>
      <c r="R20" s="37"/>
    </row>
    <row r="21" spans="1:19" s="36" customFormat="1" x14ac:dyDescent="0.25">
      <c r="B21" s="55"/>
      <c r="D21" s="37"/>
      <c r="E21" s="37"/>
      <c r="F21" s="37"/>
      <c r="G21" s="37"/>
      <c r="H21" s="37">
        <v>0</v>
      </c>
      <c r="I21" s="37">
        <f>venta_productos[[#This Row],[PRECIO REGULAR]]-venta_productos[[#This Row],[DESCUENTO]]</f>
        <v>0</v>
      </c>
      <c r="J21" s="37">
        <f>IFERROR(_xlfn.IFS(venta_productos[[#This Row],[ESTADO]]="ANULADO",0,AND(venta_productos[[#This Row],[ESTADO]]="CANCELADO",venta_productos[[#This Row],[FORMA_PAGO]]="EFECTIVO"),venta_productos[[#This Row],[VENTA FINAL]]*venta_productos[[#This Row],[CANTIDAD]],AND(venta_productos[[#This Row],[ESTADO]]="CANCELADO",venta_productos[[#This Row],[FORMA_PAGO]]="DEPOSITO"),venta_productos[[#This Row],[VENTA FINAL]]*venta_productos[[#This Row],[CANTIDAD]],AND(venta_productos[[#This Row],[ESTADO]]="CANCELADO",venta_productos[[#This Row],[FORMA_PAGO]]="TARJETA"),venta_productos[[#This Row],[VENTA FINAL]]*venta_productos[[#This Row],[CANTIDAD]]*0.9593),0)</f>
        <v>0</v>
      </c>
    </row>
    <row r="24" spans="1:19" x14ac:dyDescent="0.25">
      <c r="J24">
        <f>SUM(venta_productos[TOTAL_VENTA])</f>
        <v>2099.0915999999997</v>
      </c>
    </row>
    <row r="28" spans="1:19" x14ac:dyDescent="0.25">
      <c r="K28" s="4"/>
      <c r="L28" s="4"/>
    </row>
  </sheetData>
  <pageMargins left="0.7" right="0.7" top="0.75" bottom="0.75" header="0.3" footer="0.3"/>
  <pageSetup orientation="portrait" r:id="rId1"/>
  <drawing r:id="rId2"/>
  <legacy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AE6F9-B61A-4ABF-91C6-2AA59D1568EE}">
  <sheetPr codeName="Hoja7"/>
  <dimension ref="A9:K35"/>
  <sheetViews>
    <sheetView showGridLines="0" zoomScaleNormal="100" workbookViewId="0">
      <selection activeCell="D27" sqref="D27"/>
    </sheetView>
  </sheetViews>
  <sheetFormatPr baseColWidth="10" defaultRowHeight="15" x14ac:dyDescent="0.25"/>
  <cols>
    <col min="2" max="2" width="25.85546875" customWidth="1"/>
    <col min="3" max="3" width="16.140625" customWidth="1"/>
    <col min="4" max="4" width="26.7109375" customWidth="1"/>
    <col min="5" max="5" width="33.7109375" customWidth="1"/>
    <col min="6" max="6" width="30" customWidth="1"/>
    <col min="7" max="7" width="13" customWidth="1"/>
    <col min="8" max="8" width="25.28515625" customWidth="1"/>
    <col min="9" max="10" width="21.7109375" customWidth="1"/>
    <col min="11" max="11" width="34.85546875" customWidth="1"/>
    <col min="12" max="12" width="52" customWidth="1"/>
  </cols>
  <sheetData>
    <row r="9" spans="1:11" ht="23.25" customHeight="1" x14ac:dyDescent="0.25"/>
    <row r="12" spans="1:11" x14ac:dyDescent="0.25">
      <c r="A12" s="19" t="s">
        <v>0</v>
      </c>
      <c r="B12" s="19" t="s">
        <v>3</v>
      </c>
      <c r="C12" s="19" t="s">
        <v>38</v>
      </c>
      <c r="D12" s="4" t="s">
        <v>37</v>
      </c>
      <c r="E12" s="19" t="s">
        <v>36</v>
      </c>
      <c r="F12" s="19" t="s">
        <v>35</v>
      </c>
      <c r="G12" s="4" t="s">
        <v>91</v>
      </c>
      <c r="H12" s="4" t="s">
        <v>46</v>
      </c>
      <c r="I12" s="4" t="s">
        <v>92</v>
      </c>
      <c r="J12" s="4" t="s">
        <v>124</v>
      </c>
      <c r="K12" s="4" t="s">
        <v>11</v>
      </c>
    </row>
    <row r="13" spans="1:11" x14ac:dyDescent="0.25">
      <c r="A13" s="4">
        <v>6</v>
      </c>
      <c r="B13" t="s">
        <v>39</v>
      </c>
      <c r="C13" s="25">
        <v>44167</v>
      </c>
      <c r="D13" s="4"/>
      <c r="E13" s="19" t="s">
        <v>90</v>
      </c>
      <c r="F13" s="19"/>
      <c r="G13" s="4" t="s">
        <v>89</v>
      </c>
      <c r="H13" s="18">
        <v>295</v>
      </c>
      <c r="I13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295</v>
      </c>
      <c r="J13" s="18"/>
      <c r="K13" s="4"/>
    </row>
    <row r="14" spans="1:11" x14ac:dyDescent="0.25">
      <c r="A14" s="4">
        <v>5</v>
      </c>
      <c r="B14" t="s">
        <v>39</v>
      </c>
      <c r="C14" s="25">
        <v>44167</v>
      </c>
      <c r="D14" s="4"/>
      <c r="E14" s="19" t="s">
        <v>88</v>
      </c>
      <c r="F14" s="19" t="s">
        <v>100</v>
      </c>
      <c r="G14" s="4" t="s">
        <v>89</v>
      </c>
      <c r="H14" s="18">
        <v>3087</v>
      </c>
      <c r="I14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3087</v>
      </c>
      <c r="J14" s="18"/>
      <c r="K14" s="4"/>
    </row>
    <row r="15" spans="1:11" x14ac:dyDescent="0.25">
      <c r="A15" s="4">
        <v>4</v>
      </c>
      <c r="B15" t="s">
        <v>39</v>
      </c>
      <c r="C15" s="25">
        <v>44165</v>
      </c>
      <c r="D15" s="4"/>
      <c r="E15" s="19" t="s">
        <v>85</v>
      </c>
      <c r="F15" s="19" t="s">
        <v>86</v>
      </c>
      <c r="G15" s="4" t="s">
        <v>87</v>
      </c>
      <c r="H15" s="18">
        <v>425.96</v>
      </c>
      <c r="I15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1576.0519999999999</v>
      </c>
      <c r="J15" s="18"/>
      <c r="K15" s="4"/>
    </row>
    <row r="16" spans="1:11" x14ac:dyDescent="0.25">
      <c r="A16" s="4">
        <v>3</v>
      </c>
      <c r="B16" t="s">
        <v>39</v>
      </c>
      <c r="C16" s="25">
        <v>44120</v>
      </c>
      <c r="D16" s="4"/>
      <c r="E16" s="19" t="s">
        <v>84</v>
      </c>
      <c r="F16" s="19"/>
      <c r="G16" s="4" t="s">
        <v>87</v>
      </c>
      <c r="H16" s="18">
        <v>930.21</v>
      </c>
      <c r="I16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3441.7770000000005</v>
      </c>
      <c r="J16" s="18"/>
      <c r="K16" s="4"/>
    </row>
    <row r="17" spans="1:11" x14ac:dyDescent="0.25">
      <c r="A17" s="26">
        <v>2</v>
      </c>
      <c r="B17" t="s">
        <v>39</v>
      </c>
      <c r="C17" s="35">
        <v>44116</v>
      </c>
      <c r="E17" t="s">
        <v>83</v>
      </c>
      <c r="F17" t="s">
        <v>112</v>
      </c>
      <c r="G17" s="32" t="s">
        <v>87</v>
      </c>
      <c r="H17" s="18">
        <v>1029.5</v>
      </c>
      <c r="I17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3809.15</v>
      </c>
      <c r="J17" s="18"/>
      <c r="K17" s="4"/>
    </row>
    <row r="18" spans="1:11" x14ac:dyDescent="0.25">
      <c r="A18" s="26">
        <v>1</v>
      </c>
      <c r="B18" t="s">
        <v>39</v>
      </c>
      <c r="C18" s="35">
        <v>44104</v>
      </c>
      <c r="E18" t="s">
        <v>83</v>
      </c>
      <c r="F18" t="s">
        <v>112</v>
      </c>
      <c r="G18" s="32" t="s">
        <v>87</v>
      </c>
      <c r="H18" s="18">
        <v>2522.2800000000002</v>
      </c>
      <c r="I18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9332.4360000000015</v>
      </c>
      <c r="J18" s="18"/>
      <c r="K18" s="4"/>
    </row>
    <row r="19" spans="1:11" x14ac:dyDescent="0.25">
      <c r="A19" s="16"/>
      <c r="G19" s="32"/>
      <c r="H19" s="28"/>
      <c r="I19" s="18">
        <f>IFERROR(_xlfn.IFS(gastos_administrativos[[#This Row],[PAGO]]="soles",gastos_administrativos[[#This Row],[MONTO_GASTADO]],gastos_administrativos[[#This Row],[PAGO]]="dolares",gastos_administrativos[[#This Row],[MONTO_GASTADO]]* (VLOOKUP(gastos_administrativos[[#This Row],[DESCRIPCIÓN]],tabla_importaciones[],5,FALSE))),0)</f>
        <v>0</v>
      </c>
      <c r="J19" s="18"/>
    </row>
    <row r="20" spans="1:11" x14ac:dyDescent="0.25">
      <c r="A20" s="16"/>
      <c r="B20" s="16"/>
    </row>
    <row r="21" spans="1:11" x14ac:dyDescent="0.25">
      <c r="A21" s="16"/>
      <c r="B21" s="16"/>
    </row>
    <row r="22" spans="1:11" x14ac:dyDescent="0.25">
      <c r="A22" s="16"/>
      <c r="B22" s="16"/>
      <c r="H22" s="28">
        <f>SUM(H17:H18)</f>
        <v>3551.78</v>
      </c>
    </row>
    <row r="23" spans="1:11" x14ac:dyDescent="0.25">
      <c r="A23" s="16"/>
      <c r="B23" s="16"/>
      <c r="H23" s="28">
        <f>H22*3.7</f>
        <v>13141.586000000001</v>
      </c>
      <c r="I23" s="18">
        <f>SUM(I13:I18)</f>
        <v>21541.415000000001</v>
      </c>
      <c r="J23" s="18"/>
    </row>
    <row r="24" spans="1:11" x14ac:dyDescent="0.25">
      <c r="A24" s="16"/>
      <c r="B24" s="16"/>
      <c r="H24" s="19"/>
    </row>
    <row r="25" spans="1:11" x14ac:dyDescent="0.25">
      <c r="A25" s="16"/>
      <c r="B25" s="16"/>
      <c r="F25" s="28"/>
      <c r="G25" s="28"/>
    </row>
    <row r="26" spans="1:11" x14ac:dyDescent="0.25">
      <c r="A26" s="16"/>
      <c r="B26" s="16"/>
    </row>
    <row r="27" spans="1:11" x14ac:dyDescent="0.25">
      <c r="A27" s="16"/>
      <c r="B27" s="16"/>
    </row>
    <row r="28" spans="1:11" x14ac:dyDescent="0.25">
      <c r="A28" s="16"/>
      <c r="B28" s="16"/>
    </row>
    <row r="29" spans="1:11" x14ac:dyDescent="0.25">
      <c r="A29" s="16"/>
      <c r="B29" s="16"/>
    </row>
    <row r="30" spans="1:11" x14ac:dyDescent="0.25">
      <c r="A30" s="16"/>
      <c r="B30" s="16"/>
    </row>
    <row r="31" spans="1:11" x14ac:dyDescent="0.25">
      <c r="A31" s="16"/>
      <c r="B31" s="16"/>
    </row>
    <row r="32" spans="1:11" x14ac:dyDescent="0.25">
      <c r="A32" s="16"/>
      <c r="B32" s="16"/>
    </row>
    <row r="33" spans="1:2" x14ac:dyDescent="0.25">
      <c r="A33" s="16"/>
      <c r="B33" s="16"/>
    </row>
    <row r="34" spans="1:2" x14ac:dyDescent="0.25">
      <c r="A34" s="16"/>
      <c r="B34" s="16"/>
    </row>
    <row r="35" spans="1:2" x14ac:dyDescent="0.25">
      <c r="A35" s="16"/>
      <c r="B35" s="16"/>
    </row>
  </sheetData>
  <pageMargins left="0.7" right="0.7" top="0.75" bottom="0.75" header="0.3" footer="0.3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9D0DB-3FF0-45D3-A783-CF79668A8043}">
  <sheetPr codeName="Hoja8"/>
  <dimension ref="A9:H25"/>
  <sheetViews>
    <sheetView showGridLines="0" workbookViewId="0">
      <selection activeCell="D26" sqref="D26"/>
    </sheetView>
  </sheetViews>
  <sheetFormatPr baseColWidth="10" defaultRowHeight="15" x14ac:dyDescent="0.25"/>
  <cols>
    <col min="1" max="1" width="18" customWidth="1"/>
    <col min="2" max="2" width="19" customWidth="1"/>
    <col min="3" max="3" width="21.28515625" customWidth="1"/>
    <col min="4" max="4" width="43.42578125" customWidth="1"/>
    <col min="5" max="5" width="23.7109375" customWidth="1"/>
    <col min="6" max="6" width="23" customWidth="1"/>
    <col min="7" max="7" width="21.140625" customWidth="1"/>
    <col min="8" max="8" width="32.28515625" customWidth="1"/>
  </cols>
  <sheetData>
    <row r="9" spans="1:8" ht="24.75" customHeight="1" x14ac:dyDescent="0.25"/>
    <row r="12" spans="1:8" x14ac:dyDescent="0.25">
      <c r="A12" s="4" t="s">
        <v>33</v>
      </c>
      <c r="B12" s="4" t="s">
        <v>115</v>
      </c>
      <c r="C12" s="4" t="s">
        <v>116</v>
      </c>
      <c r="D12" s="4" t="s">
        <v>1</v>
      </c>
      <c r="E12" s="4" t="s">
        <v>4</v>
      </c>
      <c r="F12" s="40" t="s">
        <v>10</v>
      </c>
      <c r="G12" s="4" t="s">
        <v>2</v>
      </c>
      <c r="H12" s="4" t="s">
        <v>8</v>
      </c>
    </row>
    <row r="13" spans="1:8" x14ac:dyDescent="0.25">
      <c r="A13" s="4">
        <v>8</v>
      </c>
      <c r="B13" s="39">
        <v>44573607</v>
      </c>
      <c r="C13" s="4" t="s">
        <v>113</v>
      </c>
      <c r="D13" s="4" t="s">
        <v>108</v>
      </c>
      <c r="E13" s="4" t="s">
        <v>109</v>
      </c>
      <c r="F13" s="40" t="s">
        <v>110</v>
      </c>
      <c r="G13" s="4"/>
      <c r="H13" s="4"/>
    </row>
    <row r="14" spans="1:8" x14ac:dyDescent="0.25">
      <c r="A14" s="4">
        <v>7</v>
      </c>
      <c r="B14" s="39">
        <v>20600239075</v>
      </c>
      <c r="C14" s="4" t="s">
        <v>114</v>
      </c>
      <c r="D14" s="4" t="s">
        <v>106</v>
      </c>
      <c r="E14" s="4"/>
      <c r="F14" s="40"/>
      <c r="G14" s="4"/>
      <c r="H14" s="4"/>
    </row>
    <row r="15" spans="1:8" x14ac:dyDescent="0.25">
      <c r="A15" s="4">
        <v>6</v>
      </c>
      <c r="B15" s="39" t="s">
        <v>96</v>
      </c>
      <c r="C15" s="4" t="s">
        <v>113</v>
      </c>
      <c r="D15" s="4" t="s">
        <v>93</v>
      </c>
      <c r="E15" s="4" t="s">
        <v>94</v>
      </c>
      <c r="F15" s="32" t="s">
        <v>95</v>
      </c>
      <c r="G15" s="4">
        <v>949074523</v>
      </c>
      <c r="H15" s="4"/>
    </row>
    <row r="16" spans="1:8" x14ac:dyDescent="0.25">
      <c r="A16" s="4">
        <v>5</v>
      </c>
      <c r="B16" s="39">
        <v>10005611</v>
      </c>
      <c r="C16" s="4" t="s">
        <v>113</v>
      </c>
      <c r="D16" s="23" t="s">
        <v>75</v>
      </c>
      <c r="E16" s="23" t="s">
        <v>76</v>
      </c>
      <c r="F16" s="23" t="s">
        <v>77</v>
      </c>
      <c r="G16" s="19"/>
      <c r="H16" s="4"/>
    </row>
    <row r="17" spans="1:8" x14ac:dyDescent="0.25">
      <c r="A17" s="4">
        <v>4</v>
      </c>
      <c r="B17" s="39">
        <v>47033434</v>
      </c>
      <c r="C17" s="4" t="s">
        <v>113</v>
      </c>
      <c r="D17" s="23" t="s">
        <v>71</v>
      </c>
      <c r="E17" s="23" t="s">
        <v>72</v>
      </c>
      <c r="F17" s="23" t="s">
        <v>73</v>
      </c>
      <c r="G17" s="19"/>
      <c r="H17" s="4"/>
    </row>
    <row r="18" spans="1:8" x14ac:dyDescent="0.25">
      <c r="A18" s="4">
        <v>3</v>
      </c>
      <c r="B18" s="39">
        <v>42922800</v>
      </c>
      <c r="C18" s="4" t="s">
        <v>113</v>
      </c>
      <c r="D18" s="23" t="s">
        <v>65</v>
      </c>
      <c r="E18" s="23" t="s">
        <v>66</v>
      </c>
      <c r="F18" s="23" t="s">
        <v>67</v>
      </c>
      <c r="G18" s="19"/>
      <c r="H18" s="4"/>
    </row>
    <row r="19" spans="1:8" x14ac:dyDescent="0.25">
      <c r="A19" s="4">
        <v>2</v>
      </c>
      <c r="B19" s="39">
        <v>46621520</v>
      </c>
      <c r="C19" s="4" t="s">
        <v>113</v>
      </c>
      <c r="D19" s="4" t="s">
        <v>61</v>
      </c>
      <c r="E19" s="4" t="s">
        <v>19</v>
      </c>
      <c r="F19" s="4" t="s">
        <v>20</v>
      </c>
      <c r="G19" s="19"/>
      <c r="H19" s="4"/>
    </row>
    <row r="20" spans="1:8" x14ac:dyDescent="0.25">
      <c r="A20" s="4">
        <v>1</v>
      </c>
      <c r="B20" s="39">
        <v>40522904</v>
      </c>
      <c r="C20" s="4" t="s">
        <v>113</v>
      </c>
      <c r="D20" s="4" t="s">
        <v>58</v>
      </c>
      <c r="E20" s="4" t="s">
        <v>59</v>
      </c>
      <c r="F20" s="4" t="s">
        <v>125</v>
      </c>
      <c r="G20" s="19"/>
      <c r="H20" s="4"/>
    </row>
    <row r="21" spans="1:8" x14ac:dyDescent="0.25">
      <c r="A21" s="4"/>
      <c r="B21" s="39"/>
      <c r="C21" s="4"/>
      <c r="D21" s="4"/>
      <c r="E21" s="4"/>
      <c r="F21" s="26"/>
      <c r="G21" s="19"/>
      <c r="H21" s="4"/>
    </row>
    <row r="23" spans="1:8" x14ac:dyDescent="0.25">
      <c r="E23" s="19"/>
    </row>
    <row r="25" spans="1:8" x14ac:dyDescent="0.25">
      <c r="D25" s="1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C368C-3E63-4E14-9F53-5F361CC86762}">
  <sheetPr codeName="Hoja9"/>
  <dimension ref="B8:L27"/>
  <sheetViews>
    <sheetView showGridLines="0" topLeftCell="B1" workbookViewId="0">
      <selection activeCell="E36" sqref="E36"/>
    </sheetView>
  </sheetViews>
  <sheetFormatPr baseColWidth="10" defaultRowHeight="15" x14ac:dyDescent="0.25"/>
  <cols>
    <col min="1" max="1" width="0" hidden="1" customWidth="1"/>
    <col min="2" max="2" width="37" customWidth="1"/>
    <col min="3" max="3" width="28.28515625" customWidth="1"/>
    <col min="4" max="4" width="26.85546875" hidden="1" customWidth="1"/>
    <col min="5" max="5" width="28.5703125" customWidth="1"/>
    <col min="6" max="6" width="20.140625" customWidth="1"/>
    <col min="7" max="7" width="28" customWidth="1"/>
    <col min="8" max="8" width="25.7109375" customWidth="1"/>
    <col min="9" max="9" width="29" customWidth="1"/>
    <col min="10" max="10" width="23.140625" customWidth="1"/>
    <col min="11" max="11" width="25.7109375" customWidth="1"/>
  </cols>
  <sheetData>
    <row r="8" spans="2:11" ht="22.5" customHeight="1" x14ac:dyDescent="0.25"/>
    <row r="12" spans="2:11" x14ac:dyDescent="0.25">
      <c r="B12" s="16" t="s">
        <v>3</v>
      </c>
      <c r="C12" s="4" t="s">
        <v>48</v>
      </c>
      <c r="D12" s="4" t="s">
        <v>41</v>
      </c>
      <c r="E12" s="17" t="s">
        <v>40</v>
      </c>
      <c r="F12" t="s">
        <v>42</v>
      </c>
      <c r="G12" s="4" t="s">
        <v>43</v>
      </c>
      <c r="H12" s="4" t="s">
        <v>49</v>
      </c>
      <c r="I12" t="s">
        <v>47</v>
      </c>
      <c r="J12" s="4" t="s">
        <v>50</v>
      </c>
      <c r="K12" s="4" t="s">
        <v>51</v>
      </c>
    </row>
    <row r="13" spans="2:11" x14ac:dyDescent="0.25">
      <c r="B13" s="4" t="s">
        <v>45</v>
      </c>
      <c r="C13" s="4" t="str">
        <f>IFERROR(VLOOKUP(reportes[[#This Row],[DESCRIPCIÓN]],tabla_importaciones[],MATCH("CAPITAL",tabla_importaciones[#Headers],0),FALSE), " - ")</f>
        <v xml:space="preserve"> - </v>
      </c>
      <c r="D13" s="4" t="str">
        <f>IFERROR(VLOOKUP(reportes[[#This Row],[DESCRIPCIÓN]],tabla_productos[],MATCH("MONTO_GASTADO",tabla_productos[#Headers],0),FALSE), " - ")</f>
        <v xml:space="preserve"> - </v>
      </c>
      <c r="E13" s="17">
        <f>SUMIF(gastos_administrativos[DESCRIPCIÓN], reportes[[#This Row],[DESCRIPCIÓN]], gastos_administrativos[TOTAL_GASTADO])</f>
        <v>0</v>
      </c>
      <c r="F13" s="41">
        <f>SUMIF(venta_productos[DESCRIPCIÓN], reportes[[#This Row],[DESCRIPCIÓN]], venta_productos[TOTAL_VENTA])</f>
        <v>0</v>
      </c>
      <c r="G13" s="17">
        <f>SUMIF(movimiento_inversion[DESCRIPCIÓN], reportes[[#This Row],[DESCRIPCIÓN]], movimiento_inversion[MONTO_TOTAL])</f>
        <v>0</v>
      </c>
      <c r="H13" s="17">
        <f>SUMIFS(movimiento_inversion[MONTO_TOTAL], movimiento_inversion[CODIGO],1,movimiento_inversion[DESCRIPCIÓN],reportes[[#This Row],[DESCRIPCIÓN]])</f>
        <v>0</v>
      </c>
      <c r="I13" s="17">
        <f>reportes[[#This Row],[PAGO INVERSIONISTAS]]-reportes[[#This Row],[JOVA_INVERSION]]</f>
        <v>0</v>
      </c>
      <c r="J13" s="17">
        <f>IFERROR(reportes[[#This Row],[CAPITAL INVERSIONISTAS]]-reportes[[#This Row],[GASTOS ADMINISTRATIVOS]]+reportes[[#This Row],[VENTA PRODUCTOS]]-reportes[[#This Row],[PAGO INVERSIONISTAS]]+reportes[[#This Row],[JOVA_INVERSION]],0)</f>
        <v>0</v>
      </c>
      <c r="K13" s="30">
        <f>IFERROR(reportes[[#This Row],[TOTAL]]-reportes[[#This Row],[JOVA_INVERSION]],0)</f>
        <v>0</v>
      </c>
    </row>
    <row r="14" spans="2:11" x14ac:dyDescent="0.25">
      <c r="B14" s="4" t="s">
        <v>39</v>
      </c>
      <c r="C14" s="18">
        <f>IFERROR(VLOOKUP(reportes[[#This Row],[DESCRIPCIÓN]],tabla_importaciones[],MATCH("CAPITAL",tabla_importaciones[#Headers],0),FALSE), " - ")</f>
        <v>21541</v>
      </c>
      <c r="D14" s="18">
        <f>IFERROR(VLOOKUP(reportes[[#This Row],[DESCRIPCIÓN]],tabla_productos[],MATCH("MONTO_GASTADO",tabla_productos[#Headers],0),FALSE), " - ")</f>
        <v>12765</v>
      </c>
      <c r="E14" s="42">
        <f>SUMIF(gastos_administrativos[DESCRIPCIÓN], reportes[[#This Row],[DESCRIPCIÓN]], gastos_administrativos[TOTAL_GASTADO])</f>
        <v>21541.415000000001</v>
      </c>
      <c r="F14" s="43">
        <f>SUMIF(venta_productos[DESCRIPCIÓN], reportes[[#This Row],[DESCRIPCIÓN]], venta_productos[TOTAL_VENTA])</f>
        <v>2099.0915999999997</v>
      </c>
      <c r="G14" s="41">
        <f>SUMIF(movimiento_inversion[DESCRIPCIÓN], reportes[[#This Row],[DESCRIPCIÓN]], movimiento_inversion[MONTO_TOTAL])</f>
        <v>27291</v>
      </c>
      <c r="H14" s="17">
        <f>SUMIFS(movimiento_inversion[MONTO_TOTAL], movimiento_inversion[CODIGO],1,movimiento_inversion[DESCRIPCIÓN],reportes[[#This Row],[DESCRIPCIÓN]])</f>
        <v>8541</v>
      </c>
      <c r="I14" s="17">
        <f>reportes[[#This Row],[PAGO INVERSIONISTAS]]-reportes[[#This Row],[JOVA_INVERSION]]</f>
        <v>18750</v>
      </c>
      <c r="J14" s="17">
        <f>IFERROR(reportes[[#This Row],[CAPITAL INVERSIONISTAS]]-reportes[[#This Row],[GASTOS ADMINISTRATIVOS]]+reportes[[#This Row],[VENTA PRODUCTOS]]-reportes[[#This Row],[PAGO INVERSIONISTAS]]+reportes[[#This Row],[JOVA_INVERSION]],0)</f>
        <v>-16651.323400000001</v>
      </c>
      <c r="K14" s="30">
        <f>IFERROR(reportes[[#This Row],[TOTAL]]-reportes[[#This Row],[JOVA_INVERSION]],0)</f>
        <v>-25192.323400000001</v>
      </c>
    </row>
    <row r="15" spans="2:11" x14ac:dyDescent="0.25">
      <c r="B15" s="4" t="s">
        <v>44</v>
      </c>
      <c r="C15" s="17" t="str">
        <f>IFERROR(VLOOKUP(reportes[[#This Row],[DESCRIPCIÓN]],tabla_importaciones[],MATCH("CAPITAL",tabla_importaciones[#Headers],0),FALSE), " - ")</f>
        <v xml:space="preserve"> - </v>
      </c>
      <c r="D15" s="4" t="str">
        <f>IFERROR(VLOOKUP(reportes[[#This Row],[DESCRIPCIÓN]],tabla_productos[],MATCH("MONTO_GASTADO",tabla_productos[#Headers],0),FALSE), " - ")</f>
        <v xml:space="preserve"> - </v>
      </c>
      <c r="E15" s="17">
        <f>SUMIF(gastos_administrativos[DESCRIPCIÓN], reportes[[#This Row],[DESCRIPCIÓN]], gastos_administrativos[TOTAL_GASTADO])</f>
        <v>0</v>
      </c>
      <c r="F15" s="41">
        <f>SUMIF(venta_productos[DESCRIPCIÓN], reportes[[#This Row],[DESCRIPCIÓN]], venta_productos[TOTAL_VENTA])</f>
        <v>0</v>
      </c>
      <c r="G15" s="17">
        <f>SUMIF(movimiento_inversion[DESCRIPCIÓN], reportes[[#This Row],[DESCRIPCIÓN]], movimiento_inversion[MONTO_TOTAL])</f>
        <v>0</v>
      </c>
      <c r="H15" s="17">
        <f>SUMIFS(movimiento_inversion[MONTO_TOTAL], movimiento_inversion[CODIGO],1,movimiento_inversion[DESCRIPCIÓN],reportes[[#This Row],[DESCRIPCIÓN]])</f>
        <v>0</v>
      </c>
      <c r="I15" s="17">
        <f>reportes[[#This Row],[PAGO INVERSIONISTAS]]-reportes[[#This Row],[JOVA_INVERSION]]</f>
        <v>0</v>
      </c>
      <c r="J15" s="4">
        <f>IFERROR(reportes[[#This Row],[CAPITAL INVERSIONISTAS]]-reportes[[#This Row],[GASTOS ADMINISTRATIVOS]]+reportes[[#This Row],[VENTA PRODUCTOS]]-reportes[[#This Row],[PAGO INVERSIONISTAS]]+reportes[[#This Row],[JOVA_INVERSION]],0)</f>
        <v>0</v>
      </c>
      <c r="K15" s="31">
        <f>IFERROR(reportes[[#This Row],[TOTAL]]-reportes[[#This Row],[JOVA_INVERSION]],0)</f>
        <v>0</v>
      </c>
    </row>
    <row r="17" spans="3:12" hidden="1" x14ac:dyDescent="0.25">
      <c r="G17" t="s">
        <v>104</v>
      </c>
    </row>
    <row r="18" spans="3:12" hidden="1" x14ac:dyDescent="0.25">
      <c r="C18" s="21"/>
      <c r="D18" t="s">
        <v>101</v>
      </c>
      <c r="E18">
        <v>21541.42</v>
      </c>
      <c r="G18" s="4">
        <v>9000</v>
      </c>
      <c r="H18" s="32">
        <v>6000</v>
      </c>
    </row>
    <row r="19" spans="3:12" hidden="1" x14ac:dyDescent="0.25">
      <c r="D19" t="s">
        <v>102</v>
      </c>
      <c r="E19">
        <v>30000</v>
      </c>
      <c r="G19" s="4">
        <v>3000</v>
      </c>
      <c r="H19" s="32">
        <v>2000</v>
      </c>
    </row>
    <row r="20" spans="3:12" hidden="1" x14ac:dyDescent="0.25">
      <c r="D20" t="s">
        <v>103</v>
      </c>
      <c r="E20">
        <f>E19-E18</f>
        <v>8458.5800000000017</v>
      </c>
      <c r="G20" s="4">
        <v>6750</v>
      </c>
      <c r="H20" s="32">
        <v>5000</v>
      </c>
    </row>
    <row r="21" spans="3:12" hidden="1" x14ac:dyDescent="0.25">
      <c r="G21" s="44">
        <f>SUM(G18:G20)</f>
        <v>18750</v>
      </c>
      <c r="H21" s="4">
        <f>SUM(H18:H20)</f>
        <v>13000</v>
      </c>
    </row>
    <row r="22" spans="3:12" hidden="1" x14ac:dyDescent="0.25"/>
    <row r="23" spans="3:12" hidden="1" x14ac:dyDescent="0.25">
      <c r="G23" s="4">
        <f>E19-G21</f>
        <v>11250</v>
      </c>
      <c r="H23" s="45">
        <f>E18-H21</f>
        <v>8541.4199999999983</v>
      </c>
    </row>
    <row r="24" spans="3:12" hidden="1" x14ac:dyDescent="0.25"/>
    <row r="27" spans="3:12" x14ac:dyDescent="0.25">
      <c r="F27" s="49"/>
      <c r="G27" s="49"/>
      <c r="H27" s="49"/>
      <c r="I27" s="49"/>
      <c r="J27" s="49"/>
      <c r="K27" s="49"/>
      <c r="L27" s="49"/>
    </row>
  </sheetData>
  <mergeCells count="1">
    <mergeCell ref="F27:L27"/>
  </mergeCells>
  <phoneticPr fontId="1" type="noConversion"/>
  <pageMargins left="0.7" right="0.7" top="0.75" bottom="0.75" header="0.3" footer="0.3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MENÚ</vt:lpstr>
      <vt:lpstr>INVERSIONISTAS</vt:lpstr>
      <vt:lpstr>IMPORTACIONES</vt:lpstr>
      <vt:lpstr>MOVIMIENTO_INVERSION</vt:lpstr>
      <vt:lpstr>PRODUCTOS</vt:lpstr>
      <vt:lpstr>VENTA_PRODUCTOS</vt:lpstr>
      <vt:lpstr>GASTOS_ADMINISTRATIVOS</vt:lpstr>
      <vt:lpstr>CLIENTES</vt:lpstr>
      <vt:lpstr>REPORTES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2020-12-13T08:24:19Z</dcterms:modified>
</cp:coreProperties>
</file>